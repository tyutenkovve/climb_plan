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e499a469842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арт" sheetId="1" r:id="R682d8b4a69f94a3d"/>
    <x:sheet xmlns:r="http://schemas.openxmlformats.org/officeDocument/2006/relationships" name="Календарь" sheetId="2" r:id="R97a39fa4763243a0"/>
    <x:sheet xmlns:r="http://schemas.openxmlformats.org/officeDocument/2006/relationships" name="Занятия" sheetId="3" r:id="R49e838519acf4995"/>
    <x:sheet xmlns:r="http://schemas.openxmlformats.org/officeDocument/2006/relationships" name="Дневник" sheetId="4" r:id="Redadc99a4dbc4c29"/>
    <x:sheet xmlns:r="http://schemas.openxmlformats.org/officeDocument/2006/relationships" name="Итоги" sheetId="5" r:id="Rc28700f53a404cdc"/>
    <x:sheet xmlns:r="http://schemas.openxmlformats.org/officeDocument/2006/relationships" name="Проекты" sheetId="6" r:id="R3d703c2f1868422d"/>
    <x:sheet xmlns:r="http://schemas.openxmlformats.org/officeDocument/2006/relationships" name="Источники" sheetId="7" r:id="R5cf9d3af75cb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5">
    <x:font>
      <x:sz val="11"/>
      <x:name val="Carlito"/>
    </x:font>
    <x:font>
      <x:sz val="11"/>
      <x:color rgb="FF243B45"/>
      <x:name val="Calibri"/>
    </x:font>
    <x:font>
      <x:sz val="19"/>
      <x:color rgb="FFFFFFFF"/>
      <x:name val="Calibri"/>
    </x:font>
    <x:font>
      <x:b/>
      <x:sz val="11"/>
      <x:color rgb="FFFFFFFF"/>
      <x:name val="Calibri"/>
    </x:font>
    <x:font>
      <x:sz val="11"/>
      <x:color rgb="FF147D8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B45"/>
      </x:patternFill>
    </x:fill>
    <x:fill>
      <x:patternFill patternType="solid">
        <x:fgColor rgb="FFFBE2D8"/>
      </x:patternFill>
    </x:fill>
    <x:fill>
      <x:patternFill patternType="solid">
        <x:fgColor rgb="FF147D80"/>
      </x:patternFill>
    </x:fill>
    <x:fill>
      <x:patternFill patternType="solid">
        <x:fgColor rgb="FFEAF3F2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FBE2D8"/>
        </x:patternFill>
      </x:fill>
    </x:dxf>
    <x:dxf>
      <x:fill>
        <x:patternFill patternType="solid">
          <x:bgColor rgb="FFFBE2D8"/>
        </x:patternFill>
      </x:fill>
    </x:dxf>
    <x:dxf>
      <x:fill>
        <x:patternFill patternType="solid">
          <x:bgColor rgb="FFFBE2D8"/>
        </x:patternFill>
      </x:fill>
    </x:dxf>
    <x:dxf>
      <x:font>
        <x:b/>
      </x:font>
      <x:fill>
        <x:patternFill patternType="solid">
          <x:bgColor rgb="FFEAF3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4032aecf745c7" /><Relationship Type="http://schemas.openxmlformats.org/officeDocument/2006/relationships/theme" Target="/xl/theme/theme1.xml" Id="R008f9be76e1a495f" /><Relationship Type="http://schemas.openxmlformats.org/officeDocument/2006/relationships/sharedStrings" Target="/xl/sharedStrings.xml" Id="Raf9d7486978347e0" /><Relationship Type="http://schemas.openxmlformats.org/officeDocument/2006/relationships/worksheet" Target="/xl/worksheets/sheet1.xml" Id="R682d8b4a69f94a3d" /><Relationship Type="http://schemas.openxmlformats.org/officeDocument/2006/relationships/worksheet" Target="/xl/worksheets/sheet2.xml" Id="R97a39fa4763243a0" /><Relationship Type="http://schemas.openxmlformats.org/officeDocument/2006/relationships/worksheet" Target="/xl/worksheets/sheet3.xml" Id="R49e838519acf4995" /><Relationship Type="http://schemas.openxmlformats.org/officeDocument/2006/relationships/worksheet" Target="/xl/worksheets/sheet4.xml" Id="Redadc99a4dbc4c29" /><Relationship Type="http://schemas.openxmlformats.org/officeDocument/2006/relationships/worksheet" Target="/xl/worksheets/sheet5.xml" Id="Rc28700f53a404cdc" /><Relationship Type="http://schemas.openxmlformats.org/officeDocument/2006/relationships/worksheet" Target="/xl/worksheets/sheet6.xml" Id="R3d703c2f1868422d" /><Relationship Type="http://schemas.openxmlformats.org/officeDocument/2006/relationships/worksheet" Target="/xl/worksheets/sheet7.xml" Id="R5cf9d3af75cb4efb" /></Relationships>
</file>

<file path=xl/tables/table1.xml><?xml version="1.0" encoding="utf-8"?>
<x:table xmlns:x="http://schemas.openxmlformats.org/spreadsheetml/2006/main" id="1" name="SessionLog" displayName="SessionLog" ref="A5:L125" headerRowCount="1" totalsRowCount="0" totalsRowShown="0">
  <x:tableColumns count="12">
    <x:tableColumn id="1" name="Дата"/>
    <x:tableColumn id="2" name="Тип"/>
    <x:tableColumn id="3" name="Минуты"/>
    <x:tableColumn id="4" name="RPE занятия 0–10"/>
    <x:tableColumn id="5" name="Тяжёлые попытки"/>
    <x:tableColumn id="6" name="Висы"/>
    <x:tableColumn id="7" name="Новые 7A"/>
    <x:tableColumn id="8" name="Кисть во время 0–10"/>
    <x:tableColumn id="9" name="Кисть утром 0–10"/>
    <x:tableColumn id="10" name="Пальцы утром 0–10"/>
    <x:tableColumn id="11" name="Разбитость утром 0–10"/>
    <x:tableColumn id="12" name="Новый шаг / следующая гипотез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Log" displayName="ProjectLog" ref="A5:H35" headerRowCount="1" totalsRowCount="0" totalsRowShown="0">
  <x:tableColumns count="8">
    <x:tableColumn id="1" name="Место / доска"/>
    <x:tableColumn id="2" name="Категория"/>
    <x:tableColumn id="3" name="Дата начала"/>
    <x:tableColumn id="4" name="Название / описание"/>
    <x:tableColumn id="5" name="Последний наблюдаемый шаг"/>
    <x:tableColumn id="6" name="Состояние"/>
    <x:tableColumn id="7" name="Занятий"/>
    <x:tableColumn id="8" name="Следующая гипотез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98961e1b1ad4d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b0ab5218cf59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</x:cols>
  <x:sheetData>
    <x:row r="1" ht="33" customHeight="1">
      <x:c r="A1" s="5" t="str">
        <x:v>БОУЛДЕРИНГ · СЕНТЯБРЬ 2026 — МАЙ 2027</x:v>
      </x:c>
      <x:c r="B1" s="5" t="str">
        <x:v>БОУЛДЕРИНГ · СЕНТЯБРЬ 2026 — МАЙ 2027</x:v>
      </x:c>
      <x:c r="C1" s="5" t="str">
        <x:v>БОУЛДЕРИНГ · СЕНТЯБРЬ 2026 — МАЙ 2027</x:v>
      </x:c>
      <x:c r="D1" s="5" t="str">
        <x:v>БОУЛДЕРИНГ · СЕНТЯБРЬ 2026 — МАЙ 2027</x:v>
      </x:c>
      <x:c r="E1" s="5" t="str">
        <x:v>БОУЛДЕРИНГ · СЕНТЯБРЬ 2026 — МАЙ 2027</x:v>
      </x:c>
      <x:c r="F1" s="5" t="str">
        <x:v>БОУЛДЕРИНГ · СЕНТЯБРЬ 2026 — МАЙ 2027</x:v>
      </x:c>
    </x:row>
    <x:row r="2" ht="28" customHeight="1">
      <x:c r="A2" s="3"/>
      <x:c r="B2" s="3"/>
      <x:c r="C2" s="3"/>
      <x:c r="D2" s="3"/>
      <x:c r="E2" s="3"/>
      <x:c r="F2" s="3"/>
    </x:row>
    <x:row r="3" ht="26.25" customHeight="1">
      <x:c r="A3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B3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C3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D3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E3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F3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</x:row>
    <x:row r="4" ht="26.25" customHeight="1">
      <x:c r="A4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B4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C4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D4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E4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  <x:c r="F4" s="6" t="str">
        <x:v>Две основные тренировки в неделю. Старт: возвращение нагрузки и очная оценка запястья. Переход к висам, MoonBoard и пределу определяется состоянием кисти и рекомендациями специалиста; дата в календаре сама по себе не разрешает нагрузку.</x:v>
      </x:c>
    </x:row>
    <x:row r="5" ht="28" customHeight="1">
      <x:c r="A5" s="3"/>
      <x:c r="B5" s="3"/>
      <x:c r="C5" s="3"/>
      <x:c r="D5" s="3"/>
      <x:c r="E5" s="3"/>
      <x:c r="F5" s="3"/>
    </x:row>
    <x:row r="6" ht="33.75" customHeight="1">
      <x:c r="A6" s="8" t="str">
        <x:v>Профиль</x:v>
      </x:c>
      <x:c r="B6" s="8" t="str">
        <x:v>Значение</x:v>
      </x:c>
      <x:c r="C6" s="8" t="str">
        <x:v>Расписание</x:v>
      </x:c>
      <x:c r="D6" s="8" t="str">
        <x:v>Значение</x:v>
      </x:c>
      <x:c r="E6" s="8" t="str">
        <x:v>Цель</x:v>
      </x:c>
      <x:c r="F6" s="8" t="str">
        <x:v>Ориентир</x:v>
      </x:c>
    </x:row>
    <x:row r="7" ht="42" customHeight="1">
      <x:c r="A7" s="3" t="str">
        <x:v>Возраст</x:v>
      </x:c>
      <x:c r="B7" s="3" t="str">
        <x:v>Почти 30 лет</x:v>
      </x:c>
      <x:c r="C7" s="3" t="str">
        <x:v>Основные дни</x:v>
      </x:c>
      <x:c r="D7" s="3" t="str">
        <x:v>Вт + Сб</x:v>
      </x:c>
      <x:c r="E7" s="3" t="str">
        <x:v>Зал</x:v>
      </x:c>
      <x:c r="F7" s="3" t="str">
        <x:v>2–3 новых 7A за занятие</x:v>
      </x:c>
    </x:row>
    <x:row r="8" ht="42" customHeight="1">
      <x:c r="A8" s="3" t="str">
        <x:v>Рост / вес</x:v>
      </x:c>
      <x:c r="B8" s="3" t="str">
        <x:v>192 см / 78–81 кг</x:v>
      </x:c>
      <x:c r="C8" s="3" t="str">
        <x:v>Продолжительность</x:v>
      </x:c>
      <x:c r="D8" s="3" t="str">
        <x:v>После возвращения 100–120 мин</x:v>
      </x:c>
      <x:c r="E8" s="3" t="str">
        <x:v>Проекты</x:v>
      </x:c>
      <x:c r="F8" s="3" t="str">
        <x:v>7A+ за 2 занятия; работа над 7B</x:v>
      </x:c>
    </x:row>
    <x:row r="9" ht="42" customHeight="1">
      <x:c r="A9" s="3" t="str">
        <x:v>Текущий уровень</x:v>
      </x:c>
      <x:c r="B9" s="3" t="str">
        <x:v>6C–6C+, отдельные 7A</x:v>
      </x:c>
      <x:c r="C9" s="3" t="str">
        <x:v>Дополнительный день</x:v>
      </x:c>
      <x:c r="D9" s="3" t="str">
        <x:v>Чт, лёгкие 50–65 мин, по условиям</x:v>
      </x:c>
      <x:c r="E9" s="3" t="str">
        <x:v>MoonBoard</x:v>
      </x:c>
      <x:c r="F9" s="3" t="str">
        <x:v>Собственная база benchmark-проблем</x:v>
      </x:c>
    </x:row>
    <x:row r="10" ht="28" customHeight="1">
      <x:c r="A10" s="3"/>
      <x:c r="B10" s="3"/>
      <x:c r="C10" s="3"/>
      <x:c r="D10" s="3"/>
      <x:c r="E10" s="3"/>
      <x:c r="F10" s="3"/>
    </x:row>
    <x:row r="11" ht="49.5" customHeight="1">
      <x:c r="A11" s="9" t="str">
        <x:v>Начать сейчас</x:v>
      </x:c>
      <x:c r="B11" s="9" t="str">
        <x:v>Начать сейчас</x:v>
      </x:c>
      <x:c r="C11" s="9" t="str">
        <x:v>Первые 2 недели (или дольше по состоянию): 2 занятия по 70–90 минут, усилие до 5–6/10. Безболезненные движения и уверенные ноги. Никаких новых максимумов, кампуса и динамики на больное запястье.</x:v>
      </x:c>
      <x:c r="D11" s="9" t="str">
        <x:v>Первые 2 недели (или дольше по состоянию): 2 занятия по 70–90 минут, усилие до 5–6/10. Безболезненные движения и уверенные ноги. Никаких новых максимумов, кампуса и динамики на больное запястье.</x:v>
      </x:c>
      <x:c r="E11" s="9" t="str">
        <x:v>Первые 2 недели (или дольше по состоянию): 2 занятия по 70–90 минут, усилие до 5–6/10. Безболезненные движения и уверенные ноги. Никаких новых максимумов, кампуса и динамики на больное запястье.</x:v>
      </x:c>
      <x:c r="F11" s="9" t="str">
        <x:v>Первые 2 недели (или дольше по состоянию): 2 занятия по 70–90 минут, усилие до 5–6/10. Безболезненные движения и уверенные ноги. Никаких новых максимумов, кампуса и динамики на больное запястье.</x:v>
      </x:c>
    </x:row>
    <x:row r="12" ht="49.5" customHeight="1">
      <x:c r="A12" s="10" t="str">
        <x:v>Запястье</x:v>
      </x:c>
      <x:c r="B12" s="10" t="str">
        <x:v>Запястье</x:v>
      </x:c>
      <x:c r="C12" s="10" t="str">
        <x:v>Боль 4–5/10 при нагрузке и повторение месяцами требуют осмотра специалиста по кисти / спортивного травматолога. Фото не определяет повреждённую структуру. Тейп не служит разрешением увеличить нагрузку.</x:v>
      </x:c>
      <x:c r="D12" s="10" t="str">
        <x:v>Боль 4–5/10 при нагрузке и повторение месяцами требуют осмотра специалиста по кисти / спортивного травматолога. Фото не определяет повреждённую структуру. Тейп не служит разрешением увеличить нагрузку.</x:v>
      </x:c>
      <x:c r="E12" s="10" t="str">
        <x:v>Боль 4–5/10 при нагрузке и повторение месяцами требуют осмотра специалиста по кисти / спортивного травматолога. Фото не определяет повреждённую структуру. Тейп не служит разрешением увеличить нагрузку.</x:v>
      </x:c>
      <x:c r="F12" s="10" t="str">
        <x:v>Боль 4–5/10 при нагрузке и повторение месяцами требуют осмотра специалиста по кисти / спортивного травматолога. Фото не определяет повреждённую структуру. Тейп не служит разрешением увеличить нагрузку.</x:v>
      </x:c>
    </x:row>
    <x:row r="13" ht="49.5" customHeight="1">
      <x:c r="A13" s="9" t="str">
        <x:v>Условие силовых блоков</x:v>
      </x:c>
      <x:c r="B13" s="9" t="str">
        <x:v>Условие силовых блоков</x:v>
      </x:c>
      <x:c r="C13" s="9" t="str">
        <x:v>Причина боли оценена; допустимая нагрузка согласована. Обычные разрешённые движения и последующее утро стабильны, без суставной боли. Календарь при необходимости сдвигается.</x:v>
      </x:c>
      <x:c r="D13" s="9" t="str">
        <x:v>Причина боли оценена; допустимая нагрузка согласована. Обычные разрешённые движения и последующее утро стабильны, без суставной боли. Календарь при необходимости сдвигается.</x:v>
      </x:c>
      <x:c r="E13" s="9" t="str">
        <x:v>Причина боли оценена; допустимая нагрузка согласована. Обычные разрешённые движения и последующее утро стабильны, без суставной боли. Календарь при необходимости сдвигается.</x:v>
      </x:c>
      <x:c r="F13" s="9" t="str">
        <x:v>Причина боли оценена; допустимая нагрузка согласована. Обычные разрешённые движения и последующее утро стабильны, без суставной боли. Календарь при необходимости сдвигается.</x:v>
      </x:c>
    </x:row>
    <x:row r="14" ht="49.5" customHeight="1">
      <x:c r="A14" s="10" t="str">
        <x:v>Одна попытка</x:v>
      </x:c>
      <x:c r="B14" s="10" t="str">
        <x:v>Одна попытка</x:v>
      </x:c>
      <x:c r="C14" s="10" t="str">
        <x:v>Каждый отдельный силовой заход на движение / трассу. Пять повторных рывков подряд — пять попыток. Висы считать отдельно. Учебные движения с лёгкой нагрузкой в этот счёт не входят.</x:v>
      </x:c>
      <x:c r="D14" s="10" t="str">
        <x:v>Каждый отдельный силовой заход на движение / трассу. Пять повторных рывков подряд — пять попыток. Висы считать отдельно. Учебные движения с лёгкой нагрузкой в этот счёт не входят.</x:v>
      </x:c>
      <x:c r="E14" s="10" t="str">
        <x:v>Каждый отдельный силовой заход на движение / трассу. Пять повторных рывков подряд — пять попыток. Висы считать отдельно. Учебные движения с лёгкой нагрузкой в этот счёт не входят.</x:v>
      </x:c>
      <x:c r="F14" s="10" t="str">
        <x:v>Каждый отдельный силовой заход на движение / трассу. Пять повторных рывков подряд — пять попыток. Висы считать отдельно. Учебные движения с лёгкой нагрузкой в этот счёт не входят.</x:v>
      </x:c>
    </x:row>
    <x:row r="15" ht="49.5" customHeight="1">
      <x:c r="A15" s="9" t="str">
        <x:v>Отдых</x:v>
      </x:c>
      <x:c r="B15" s="9" t="str">
        <x:v>Отдых</x:v>
      </x:c>
      <x:c r="C15" s="9" t="str">
        <x:v>Лёгкие трассы: 1–2 мин; рабочие: 2–3 мин; тяжёлые: 3–5 мин после каждой попытки, при необходимости 5–7. После длинной паузы мягко размяться.</x:v>
      </x:c>
      <x:c r="D15" s="9" t="str">
        <x:v>Лёгкие трассы: 1–2 мин; рабочие: 2–3 мин; тяжёлые: 3–5 мин после каждой попытки, при необходимости 5–7. После длинной паузы мягко размяться.</x:v>
      </x:c>
      <x:c r="E15" s="9" t="str">
        <x:v>Лёгкие трассы: 1–2 мин; рабочие: 2–3 мин; тяжёлые: 3–5 мин после каждой попытки, при необходимости 5–7. После длинной паузы мягко размяться.</x:v>
      </x:c>
      <x:c r="F15" s="9" t="str">
        <x:v>Лёгкие трассы: 1–2 мин; рабочие: 2–3 мин; тяжёлые: 3–5 мин после каждой попытки, при необходимости 5–7. После длинной паузы мягко размяться.</x:v>
      </x:c>
    </x:row>
    <x:row r="16" ht="49.5" customHeight="1">
      <x:c r="A16" s="10" t="str">
        <x:v>Когда закончить</x:v>
      </x:c>
      <x:c r="B16" s="10" t="str">
        <x:v>Когда закончить</x:v>
      </x:c>
      <x:c r="C16" s="10" t="str">
        <x:v>Новая суставная боль — прекратить провоцирующую нагрузку. Две попытки подряд заметно хуже после полного отдыха — закончить тяжёлый блок. Больная кожа и ноги, меняющие движение, — повод завершить лазание.</x:v>
      </x:c>
      <x:c r="D16" s="10" t="str">
        <x:v>Новая суставная боль — прекратить провоцирующую нагрузку. Две попытки подряд заметно хуже после полного отдыха — закончить тяжёлый блок. Больная кожа и ноги, меняющие движение, — повод завершить лазание.</x:v>
      </x:c>
      <x:c r="E16" s="10" t="str">
        <x:v>Новая суставная боль — прекратить провоцирующую нагрузку. Две попытки подряд заметно хуже после полного отдыха — закончить тяжёлый блок. Больная кожа и ноги, меняющие движение, — повод завершить лазание.</x:v>
      </x:c>
      <x:c r="F16" s="10" t="str">
        <x:v>Новая суставная боль — прекратить провоцирующую нагрузку. Две попытки подряд заметно хуже после полного отдыха — закончить тяжёлый блок. Больная кожа и ноги, меняющие движение, — повод завершить лазание.</x:v>
      </x:c>
    </x:row>
    <x:row r="17" ht="49.5" customHeight="1">
      <x:c r="A17" s="9" t="str">
        <x:v>Разгрузка</x:v>
      </x:c>
      <x:c r="B17" s="9" t="str">
        <x:v>Разгрузка</x:v>
      </x:c>
      <x:c r="C17" s="9" t="str">
        <x:v>В конце полного 4-недельного блока: примерно половина подходов/попыток, без отказа и новых рекордов. Если усталость накопилась раньше, разгрузка раньше. Полная неделя без лазания запланирована на Японию.</x:v>
      </x:c>
      <x:c r="D17" s="9" t="str">
        <x:v>В конце полного 4-недельного блока: примерно половина подходов/попыток, без отказа и новых рекордов. Если усталость накопилась раньше, разгрузка раньше. Полная неделя без лазания запланирована на Японию.</x:v>
      </x:c>
      <x:c r="E17" s="9" t="str">
        <x:v>В конце полного 4-недельного блока: примерно половина подходов/попыток, без отказа и новых рекордов. Если усталость накопилась раньше, разгрузка раньше. Полная неделя без лазания запланирована на Японию.</x:v>
      </x:c>
      <x:c r="F17" s="9" t="str">
        <x:v>В конце полного 4-недельного блока: примерно половина подходов/попыток, без отказа и новых рекордов. Если усталость накопилась раньше, разгрузка раньше. Полная неделя без лазания запланирована на Японию.</x:v>
      </x:c>
    </x:row>
    <x:row r="18" ht="49.5" customHeight="1">
      <x:c r="A18" s="10" t="str">
        <x:v>Прогрессия</x:v>
      </x:c>
      <x:c r="B18" s="10" t="str">
        <x:v>Прогрессия</x:v>
      </x:c>
      <x:c r="C18" s="10" t="str">
        <x:v>После двух успешных переносимых экспозиций увеличивать только один параметр: +1 подход ИЛИ +0,5–1 кг ИЛИ сложность движений. Возросшая боль/разбитость — возврат к прежнему объёму, а не дополнительная нагрузка.</x:v>
      </x:c>
      <x:c r="D18" s="10" t="str">
        <x:v>После двух успешных переносимых экспозиций увеличивать только один параметр: +1 подход ИЛИ +0,5–1 кг ИЛИ сложность движений. Возросшая боль/разбитость — возврат к прежнему объёму, а не дополнительная нагрузка.</x:v>
      </x:c>
      <x:c r="E18" s="10" t="str">
        <x:v>После двух успешных переносимых экспозиций увеличивать только один параметр: +1 подход ИЛИ +0,5–1 кг ИЛИ сложность движений. Возросшая боль/разбитость — возврат к прежнему объёму, а не дополнительная нагрузка.</x:v>
      </x:c>
      <x:c r="F18" s="10" t="str">
        <x:v>После двух успешных переносимых экспозиций увеличивать только один параметр: +1 подход ИЛИ +0,5–1 кг ИЛИ сложность движений. Возросшая боль/разбитость — возврат к прежнему объёму, а не дополнительная нагрузка.</x:v>
      </x:c>
    </x:row>
    <x:row r="19" ht="49.5" customHeight="1">
      <x:c r="A19" s="9" t="str">
        <x:v>Как вести дневник</x:v>
      </x:c>
      <x:c r="B19" s="9" t="str">
        <x:v>Как вести дневник</x:v>
      </x:c>
      <x:c r="C19" s="9" t="str">
        <x:v>После занятия заполнить A–H и короткую заметку L; на следующее утро I–K. Пустая клетка означает «не записано», 0 — явное отсутствие. Итоги рассчитываются автоматически.</x:v>
      </x:c>
      <x:c r="D19" s="9" t="str">
        <x:v>После занятия заполнить A–H и короткую заметку L; на следующее утро I–K. Пустая клетка означает «не записано», 0 — явное отсутствие. Итоги рассчитываются автоматически.</x:v>
      </x:c>
      <x:c r="E19" s="9" t="str">
        <x:v>После занятия заполнить A–H и короткую заметку L; на следующее утро I–K. Пустая клетка означает «не записано», 0 — явное отсутствие. Итоги рассчитываются автоматически.</x:v>
      </x:c>
      <x:c r="F19" s="9" t="str">
        <x:v>После занятия заполнить A–H и короткую заметку L; на следующее утро I–K. Пустая клетка означает «не записано», 0 — явное отсутствие. Итоги рассчитываются автоматически.</x:v>
      </x:c>
    </x:row>
    <x:row r="20" ht="49.5" customHeight="1">
      <x:c r="A20" s="10" t="str">
        <x:v>RPE</x:v>
      </x:c>
      <x:c r="B20" s="10" t="str">
        <x:v>RPE</x:v>
      </x:c>
      <x:c r="C20" s="10" t="str">
        <x:v>Субъективная тяжесть: 0 = покой, 10 = максимально тяжело. Для всего занятия записать D в дневнике; она не равна проценту максимальной силы.</x:v>
      </x:c>
      <x:c r="D20" s="10" t="str">
        <x:v>Субъективная тяжесть: 0 = покой, 10 = максимально тяжело. Для всего занятия записать D в дневнике; она не равна проценту максимальной силы.</x:v>
      </x:c>
      <x:c r="E20" s="10" t="str">
        <x:v>Субъективная тяжесть: 0 = покой, 10 = максимально тяжело. Для всего занятия записать D в дневнике; она не равна проценту максимальной силы.</x:v>
      </x:c>
      <x:c r="F20" s="10" t="str">
        <x:v>Субъективная тяжесть: 0 = покой, 10 = максимально тяжело. Для всего занятия записать D в дневнике; она не равна проценту максимальной силы.</x:v>
      </x:c>
    </x:row>
    <x:row r="21" ht="49.5" customHeight="1">
      <x:c r="A21" s="9" t="str">
        <x:v>Подкрепление</x:v>
      </x:c>
      <x:c r="B21" s="9" t="str">
        <x:v>Подкрепление</x:v>
      </x:c>
      <x:c r="C21" s="9" t="str">
        <x:v>На каждом занятии выбрать один наблюдаемый шаг: новый перехват, связка, более надёжная нога. Записать результат и следующую гипотезу. Отдых по плану также считается выполненной частью программы.</x:v>
      </x:c>
      <x:c r="D21" s="9" t="str">
        <x:v>На каждом занятии выбрать один наблюдаемый шаг: новый перехват, связка, более надёжная нога. Записать результат и следующую гипотезу. Отдых по плану также считается выполненной частью программы.</x:v>
      </x:c>
      <x:c r="E21" s="9" t="str">
        <x:v>На каждом занятии выбрать один наблюдаемый шаг: новый перехват, связка, более надёжная нога. Записать результат и следующую гипотезу. Отдых по плану также считается выполненной частью программы.</x:v>
      </x:c>
      <x:c r="F21" s="9" t="str">
        <x:v>На каждом занятии выбрать один наблюдаемый шаг: новый перехват, связка, более надёжная нога. Записать результат и следующую гипотезу. Отдых по плану также считается выполненной частью программы.</x:v>
      </x:c>
    </x:row>
    <x:row r="22" ht="49.5" customHeight="1">
      <x:c r="A22" s="10" t="str">
        <x:v>Питание</x:v>
      </x:c>
      <x:c r="B22" s="10" t="str">
        <x:v>Питание</x:v>
      </x:c>
      <x:c r="C22" s="10" t="str">
        <x:v>Ориентир белка 125–160 г/сутки при массе около 80 кг; обычная еда до и после занятия. Батончик с фруктом — удобный перекус, но не обязательно достаточный ужин. Спешка ради 30-минутного «окна» не нужна.</x:v>
      </x:c>
      <x:c r="D22" s="10" t="str">
        <x:v>Ориентир белка 125–160 г/сутки при массе около 80 кг; обычная еда до и после занятия. Батончик с фруктом — удобный перекус, но не обязательно достаточный ужин. Спешка ради 30-минутного «окна» не нужна.</x:v>
      </x:c>
      <x:c r="E22" s="10" t="str">
        <x:v>Ориентир белка 125–160 г/сутки при массе около 80 кг; обычная еда до и после занятия. Батончик с фруктом — удобный перекус, но не обязательно достаточный ужин. Спешка ради 30-минутного «окна» не нужна.</x:v>
      </x:c>
      <x:c r="F22" s="10" t="str">
        <x:v>Ориентир белка 125–160 г/сутки при массе около 80 кг; обычная еда до и после занятия. Батончик с фруктом — удобный перекус, но не обязательно достаточный ужин. Спешка ради 30-минутного «окна» не нужна.</x:v>
      </x:c>
    </x:row>
    <x:row r="23" ht="49.5" customHeight="1">
      <x:c r="A23" s="9" t="str">
        <x:v>Что является гипотезой</x:v>
      </x:c>
      <x:c r="B23" s="9" t="str">
        <x:v>Что является гипотезой</x:v>
      </x:c>
      <x:c r="C23" s="9" t="str">
        <x:v>Точные дозировки и календарь — стартовое тренерское решение, не проверенный в исследовании девятимесячный протокол. Источники разделены на исследования, рекомендации организаций и опыт тренеров.</x:v>
      </x:c>
      <x:c r="D23" s="9" t="str">
        <x:v>Точные дозировки и календарь — стартовое тренерское решение, не проверенный в исследовании девятимесячный протокол. Источники разделены на исследования, рекомендации организаций и опыт тренеров.</x:v>
      </x:c>
      <x:c r="E23" s="9" t="str">
        <x:v>Точные дозировки и календарь — стартовое тренерское решение, не проверенный в исследовании девятимесячный протокол. Источники разделены на исследования, рекомендации организаций и опыт тренеров.</x:v>
      </x:c>
      <x:c r="F23" s="9" t="str">
        <x:v>Точные дозировки и календарь — стартовое тренерское решение, не проверенный в исследовании девятимесячный протокол. Источники разделены на исследования, рекомендации организаций и опыт тренеров.</x:v>
      </x:c>
    </x:row>
    <x:row r="24" ht="49.5" customHeight="1">
      <x:c r="A24" s="10" t="str">
        <x:v>Поездка</x:v>
      </x:c>
      <x:c r="B24" s="10" t="str">
        <x:v>Поездка</x:v>
      </x:c>
      <x:c r="C24" s="10" t="str">
        <x:v>23.11–06.12 использовано как условное окно Японии. Поменять даты после уточнения. Итоговое снижение нагрузки привязать к фактическому выезду на скалы.</x:v>
      </x:c>
      <x:c r="D24" s="10" t="str">
        <x:v>23.11–06.12 использовано как условное окно Японии. Поменять даты после уточнения. Итоговое снижение нагрузки привязать к фактическому выезду на скалы.</x:v>
      </x:c>
      <x:c r="E24" s="10" t="str">
        <x:v>23.11–06.12 использовано как условное окно Японии. Поменять даты после уточнения. Итоговое снижение нагрузки привязать к фактическому выезду на скалы.</x:v>
      </x:c>
      <x:c r="F24" s="10" t="str">
        <x:v>23.11–06.12 использовано как условное окно Японии. Поменять даты после уточнения. Итоговое снижение нагрузки привязать к фактическому выезду на скалы.</x:v>
      </x:c>
    </x:row>
    <x:row r="25" ht="28" customHeight="1">
      <x:c r="A25" s="3"/>
      <x:c r="B25" s="3"/>
      <x:c r="C25" s="3"/>
      <x:c r="D25" s="3"/>
      <x:c r="E25" s="3"/>
      <x:c r="F25" s="3"/>
    </x:row>
    <x:row r="26" ht="28" customHeight="1">
      <x:c r="A26" s="3"/>
      <x:c r="B26" s="3"/>
      <x:c r="C26" s="3"/>
      <x:c r="D26" s="3"/>
      <x:c r="E26" s="3"/>
      <x:c r="F26" s="3"/>
    </x:row>
    <x:row r="27" ht="22.5" customHeight="1">
      <x:c r="A27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B27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C27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D27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E27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F27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</x:row>
    <x:row r="28" ht="22.5" customHeight="1">
      <x:c r="A28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B28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C28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D28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E28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  <x:c r="F28" s="9" t="str">
        <x:v>Цвета: жёлтые клетки — ввод; светло-зелёные — расчёты/план; персиковые — условия и сообщения о боли. Любой ненулевой показатель боли выделяется для внимания, а не для постановки диагноза.</x:v>
      </x:c>
    </x:row>
    <x:row r="29" ht="28" customHeight="1">
      <x:c r="A29" s="3"/>
      <x:c r="B29" s="3"/>
      <x:c r="C29" s="3"/>
      <x:c r="D29" s="3"/>
      <x:c r="E29" s="3"/>
      <x:c r="F29" s="3"/>
    </x:row>
    <x:row r="30" ht="28" customHeight="1">
      <x:c r="A30" s="3"/>
      <x:c r="B30" s="3"/>
      <x:c r="C30" s="3"/>
      <x:c r="D30" s="3"/>
      <x:c r="E30" s="3"/>
      <x:c r="F30" s="3"/>
    </x:row>
    <x:row r="31" ht="28" customHeight="1">
      <x:c r="A31" s="3"/>
      <x:c r="B31" s="3"/>
      <x:c r="C31" s="3"/>
      <x:c r="D31" s="3"/>
      <x:c r="E31" s="3"/>
      <x:c r="F31" s="3"/>
    </x:row>
    <x:row r="32" ht="28" customHeight="1">
      <x:c r="A32" s="3"/>
      <x:c r="B32" s="3"/>
      <x:c r="C32" s="3"/>
      <x:c r="D32" s="3"/>
      <x:c r="E32" s="3"/>
      <x:c r="F32" s="3"/>
    </x:row>
    <x:row r="33" ht="28" customHeight="1">
      <x:c r="A33" s="3"/>
      <x:c r="B33" s="3"/>
      <x:c r="C33" s="3"/>
      <x:c r="D33" s="3"/>
      <x:c r="E33" s="3"/>
      <x:c r="F33" s="3"/>
    </x:row>
    <x:row r="34" ht="28" customHeight="1">
      <x:c r="A34" s="3"/>
      <x:c r="B34" s="3"/>
      <x:c r="C34" s="3"/>
      <x:c r="D34" s="3"/>
      <x:c r="E34" s="3"/>
      <x:c r="F34" s="3"/>
    </x:row>
    <x:row r="35" ht="28" customHeight="1">
      <x:c r="A35" s="3"/>
      <x:c r="B35" s="3"/>
      <x:c r="C35" s="3"/>
      <x:c r="D35" s="3"/>
      <x:c r="E35" s="3"/>
      <x:c r="F35" s="3"/>
    </x:row>
    <x:row r="36" ht="28" customHeight="1">
      <x:c r="A36" s="3"/>
      <x:c r="B36" s="3"/>
      <x:c r="C36" s="3"/>
      <x:c r="D36" s="3"/>
      <x:c r="E36" s="3"/>
      <x:c r="F36" s="3"/>
    </x:row>
  </x:sheetData>
  <x:mergeCells>
    <x:mergeCell ref="A1:F1"/>
    <x:mergeCell ref="A3:F4"/>
    <x:mergeCell ref="A11:B11"/>
    <x:mergeCell ref="C11:F11"/>
    <x:mergeCell ref="A12:B12"/>
    <x:mergeCell ref="C12:F12"/>
    <x:mergeCell ref="A13:B13"/>
    <x:mergeCell ref="C13:F13"/>
    <x:mergeCell ref="A14:B14"/>
    <x:mergeCell ref="C14:F14"/>
    <x:mergeCell ref="A15:B15"/>
    <x:mergeCell ref="C15:F15"/>
    <x:mergeCell ref="A16:B16"/>
    <x:mergeCell ref="C16:F16"/>
    <x:mergeCell ref="A17:B17"/>
    <x:mergeCell ref="C17:F17"/>
    <x:mergeCell ref="A18:B18"/>
    <x:mergeCell ref="C18:F18"/>
    <x:mergeCell ref="A19:B19"/>
    <x:mergeCell ref="C19:F19"/>
    <x:mergeCell ref="A20:B20"/>
    <x:mergeCell ref="C20:F20"/>
    <x:mergeCell ref="A21:B21"/>
    <x:mergeCell ref="C21:F21"/>
    <x:mergeCell ref="A22:B22"/>
    <x:mergeCell ref="C22:F22"/>
    <x:mergeCell ref="A23:B23"/>
    <x:mergeCell ref="C23:F23"/>
    <x:mergeCell ref="A24:B24"/>
    <x:mergeCell ref="C24:F24"/>
    <x:mergeCell ref="A27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79999732971191" hidden="0" customWidth="1"/>
    <x:col min="2" max="2" width="11.779999732971191" hidden="0" customWidth="1"/>
    <x:col min="3" max="3" width="23.329999923706055" hidden="0" customWidth="1"/>
    <x:col min="4" max="4" width="33.33000183105469" hidden="0" customWidth="1"/>
    <x:col min="5" max="5" width="33.33000183105469" hidden="0" customWidth="1"/>
    <x:col min="6" max="6" width="16.110000610351562" hidden="0" customWidth="1"/>
    <x:col min="7" max="7" width="40" hidden="0" customWidth="1"/>
    <x:col min="8" max="8" width="15.5600004196167" hidden="0" customWidth="1"/>
  </x:cols>
  <x:sheetData>
    <x:row r="1" ht="33" customHeight="1">
      <x:c r="A1" s="5" t="str">
        <x:v>38 НЕДЕЛЬ · ДВА ОСНОВНЫХ ЗАНЯТИЯ</x:v>
      </x:c>
      <x:c r="B1" s="5" t="str">
        <x:v>38 НЕДЕЛЬ · ДВА ОСНОВНЫХ ЗАНЯТИЯ</x:v>
      </x:c>
      <x:c r="C1" s="5" t="str">
        <x:v>38 НЕДЕЛЬ · ДВА ОСНОВНЫХ ЗАНЯТИЯ</x:v>
      </x:c>
      <x:c r="D1" s="5" t="str">
        <x:v>38 НЕДЕЛЬ · ДВА ОСНОВНЫХ ЗАНЯТИЯ</x:v>
      </x:c>
      <x:c r="E1" s="5" t="str">
        <x:v>38 НЕДЕЛЬ · ДВА ОСНОВНЫХ ЗАНЯТИЯ</x:v>
      </x:c>
      <x:c r="F1" s="5" t="str">
        <x:v>38 НЕДЕЛЬ · ДВА ОСНОВНЫХ ЗАНЯТИЯ</x:v>
      </x:c>
      <x:c r="G1" s="5" t="str">
        <x:v>38 НЕДЕЛЬ · ДВА ОСНОВНЫХ ЗАНЯТИЯ</x:v>
      </x:c>
      <x:c r="H1" s="5" t="str">
        <x:v>38 НЕДЕЛЬ · ДВА ОСНОВНЫХ ЗАНЯТИЯ</x:v>
      </x:c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20.25" customHeight="1">
      <x:c r="A3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B3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C3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D3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E3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F3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G3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H3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</x:row>
    <x:row r="4" ht="20.25" customHeight="1">
      <x:c r="A4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B4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C4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D4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E4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F4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G4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  <x:c r="H4" s="6" t="str">
        <x:v>Даты — ориентир. Силовые A/B применяются только после оценки запястья и выполнения условий листа «Старт». При задержке повторять допустимую фазу возвращения; пропуски не наверстывать. Япония 23.11–06.12 — предположение.</x:v>
      </x:c>
    </x:row>
    <x:row r="5" ht="33.75" customHeight="1">
      <x:c r="A5" s="8" t="str">
        <x:v>Начало недели</x:v>
      </x:c>
      <x:c r="B5" s="8" t="str">
        <x:v>Конец недели</x:v>
      </x:c>
      <x:c r="C5" s="8" t="str">
        <x:v>Блок</x:v>
      </x:c>
      <x:c r="D5" s="8" t="str">
        <x:v>Занятие A</x:v>
      </x:c>
      <x:c r="E5" s="8" t="str">
        <x:v>Занятие B</x:v>
      </x:c>
      <x:c r="F5" s="8" t="str">
        <x:v>Объём</x:v>
      </x:c>
      <x:c r="G5" s="8" t="str">
        <x:v>Уточнение / условие</x:v>
      </x:c>
      <x:c r="H5" s="8" t="str">
        <x:v>План посещений</x:v>
      </x:c>
    </x:row>
    <x:row r="6" ht="69" customHeight="1">
      <x:c r="A6" s="11" t="n">
        <x:v>46272</x:v>
      </x:c>
      <x:c r="B6" s="11" t="n">
        <x:v>46278</x:v>
      </x:c>
      <x:c r="C6" s="9" t="str">
        <x:v>Возвращение</x:v>
      </x:c>
      <x:c r="D6" s="9" t="str">
        <x:v>R: 70–90 мин, лёгкая техника</x:v>
      </x:c>
      <x:c r="E6" s="9" t="str">
        <x:v>R: 70–90 мин, лёгкая техника</x:v>
      </x:c>
      <x:c r="F6" s="9" t="str">
        <x:v>Усилие 5–6/10</x:v>
      </x:c>
      <x:c r="G6" s="9" t="str">
        <x:v>Первое занятие с 08.09. Пока без тяжёлых висов и MoonBoard; осмотр кисти.</x:v>
      </x:c>
      <x:c r="H6" s="13" t="n">
        <x:v>2</x:v>
      </x:c>
    </x:row>
    <x:row r="7" ht="69" customHeight="1">
      <x:c r="A7" s="12" t="n">
        <x:v>46279</x:v>
      </x:c>
      <x:c r="B7" s="12" t="n">
        <x:v>46285</x:v>
      </x:c>
      <x:c r="C7" s="3" t="str">
        <x:v>Возвращение</x:v>
      </x:c>
      <x:c r="D7" s="3" t="str">
        <x:v>R: 70–90 мин, лёгкая техника</x:v>
      </x:c>
      <x:c r="E7" s="3" t="str">
        <x:v>R: 70–90 мин, лёгкая техника</x:v>
      </x:c>
      <x:c r="F7" s="3" t="str">
        <x:v>Усилие 5–6/10</x:v>
      </x:c>
      <x:c r="G7" s="3" t="str">
        <x:v>Первое занятие с 08.09. Пока без тяжёлых висов и MoonBoard; осмотр кисти.</x:v>
      </x:c>
      <x:c r="H7" s="14" t="n">
        <x:v>2</x:v>
      </x:c>
    </x:row>
    <x:row r="8" ht="69" customHeight="1">
      <x:c r="A8" s="11" t="n">
        <x:v>46286</x:v>
      </x:c>
      <x:c r="B8" s="11" t="n">
        <x:v>46292</x:v>
      </x:c>
      <x:c r="C8" s="9" t="str">
        <x:v>База: пальцы и техника</x:v>
      </x:c>
      <x:c r="D8" s="9" t="str">
        <x:v>F-вводный + 6–8 рабочих попыток</x:v>
      </x:c>
      <x:c r="E8" s="9" t="str">
        <x:v>Техника: флаги / тесные старты; затем 4–6 проб MoonBoard при готовности</x:v>
      </x:c>
      <x:c r="F8" s="9" t="str">
        <x:v>Умеренный</x:v>
      </x:c>
      <x:c r="G8" s="9" t="str">
        <x:v>Недели висов: 3 / 4 / 4 / 2 × 7 с, 1 раз/нед. Не начинать по календарю без допуска.</x:v>
      </x:c>
      <x:c r="H8" s="13" t="n">
        <x:v>2</x:v>
      </x:c>
    </x:row>
    <x:row r="9" ht="69" customHeight="1">
      <x:c r="A9" s="12" t="n">
        <x:v>46293</x:v>
      </x:c>
      <x:c r="B9" s="12" t="n">
        <x:v>46299</x:v>
      </x:c>
      <x:c r="C9" s="3" t="str">
        <x:v>База: пальцы и техника</x:v>
      </x:c>
      <x:c r="D9" s="3" t="str">
        <x:v>F-вводный + 6–8 рабочих попыток</x:v>
      </x:c>
      <x:c r="E9" s="3" t="str">
        <x:v>Техника: флаги / тесные старты; затем 4–6 проб MoonBoard при готовности</x:v>
      </x:c>
      <x:c r="F9" s="3" t="str">
        <x:v>Умеренный</x:v>
      </x:c>
      <x:c r="G9" s="3" t="str">
        <x:v>Недели висов: 3 / 4 / 4 / 2 × 7 с, 1 раз/нед. Не начинать по календарю без допуска.</x:v>
      </x:c>
      <x:c r="H9" s="14" t="n">
        <x:v>2</x:v>
      </x:c>
    </x:row>
    <x:row r="10" ht="69" customHeight="1">
      <x:c r="A10" s="11" t="n">
        <x:v>46300</x:v>
      </x:c>
      <x:c r="B10" s="11" t="n">
        <x:v>46306</x:v>
      </x:c>
      <x:c r="C10" s="9" t="str">
        <x:v>База: пальцы и техника</x:v>
      </x:c>
      <x:c r="D10" s="9" t="str">
        <x:v>F-вводный + 6–8 рабочих попыток</x:v>
      </x:c>
      <x:c r="E10" s="9" t="str">
        <x:v>Техника: флаги / тесные старты; затем 4–6 проб MoonBoard при готовности</x:v>
      </x:c>
      <x:c r="F10" s="9" t="str">
        <x:v>Умеренный</x:v>
      </x:c>
      <x:c r="G10" s="9" t="str">
        <x:v>Недели висов: 3 / 4 / 4 / 2 × 7 с, 1 раз/нед. Не начинать по календарю без допуска.</x:v>
      </x:c>
      <x:c r="H10" s="13" t="n">
        <x:v>2</x:v>
      </x:c>
    </x:row>
    <x:row r="11" ht="69" customHeight="1">
      <x:c r="A11" s="12" t="n">
        <x:v>46307</x:v>
      </x:c>
      <x:c r="B11" s="12" t="n">
        <x:v>46313</x:v>
      </x:c>
      <x:c r="C11" s="3" t="str">
        <x:v>База: пальцы и техника · разгрузка</x:v>
      </x:c>
      <x:c r="D11" s="3" t="str">
        <x:v>Половина подходов/попыток A</x:v>
      </x:c>
      <x:c r="E11" s="3" t="str">
        <x:v>Половина объёма B, без новых предельных движений</x:v>
      </x:c>
      <x:c r="F11" s="3" t="str">
        <x:v>Около 50%</x:v>
      </x:c>
      <x:c r="G11" s="3" t="str">
        <x:v>Недели висов: 3 / 4 / 4 / 2 × 7 с, 1 раз/нед. Не начинать по календарю без допуска. Проверить динамику боли, кожи и восстановления.</x:v>
      </x:c>
      <x:c r="H11" s="14" t="n">
        <x:v>2</x:v>
      </x:c>
    </x:row>
    <x:row r="12" ht="69" customHeight="1">
      <x:c r="A12" s="11" t="n">
        <x:v>46314</x:v>
      </x:c>
      <x:c r="B12" s="11" t="n">
        <x:v>46320</x:v>
      </x:c>
      <x:c r="C12" s="9" t="str">
        <x:v>Сила I</x:v>
      </x:c>
      <x:c r="D12" s="9" t="str">
        <x:v>4 × 10 с + 6–8 тяжёлых попыток</x:v>
      </x:c>
      <x:c r="E12" s="9" t="str">
        <x:v>MoonBoard 6–8 попыток + техника</x:v>
      </x:c>
      <x:c r="F12" s="9" t="str">
        <x:v>Обычный</x:v>
      </x:c>
      <x:c r="G12" s="9" t="str">
        <x:v>Силовые висы с запасом 2–3 с; дополнительный вес только при переносимости.</x:v>
      </x:c>
      <x:c r="H12" s="13" t="n">
        <x:v>2</x:v>
      </x:c>
    </x:row>
    <x:row r="13" ht="69" customHeight="1">
      <x:c r="A13" s="12" t="n">
        <x:v>46321</x:v>
      </x:c>
      <x:c r="B13" s="12" t="n">
        <x:v>46327</x:v>
      </x:c>
      <x:c r="C13" s="3" t="str">
        <x:v>Сила I</x:v>
      </x:c>
      <x:c r="D13" s="3" t="str">
        <x:v>4 × 10 с + 6–8 тяжёлых попыток</x:v>
      </x:c>
      <x:c r="E13" s="3" t="str">
        <x:v>MoonBoard 6–8 попыток + техника</x:v>
      </x:c>
      <x:c r="F13" s="3" t="str">
        <x:v>Обычный</x:v>
      </x:c>
      <x:c r="G13" s="3" t="str">
        <x:v>Силовые висы с запасом 2–3 с; дополнительный вес только при переносимости.</x:v>
      </x:c>
      <x:c r="H13" s="14" t="n">
        <x:v>2</x:v>
      </x:c>
    </x:row>
    <x:row r="14" ht="69" customHeight="1">
      <x:c r="A14" s="11" t="n">
        <x:v>46328</x:v>
      </x:c>
      <x:c r="B14" s="11" t="n">
        <x:v>46334</x:v>
      </x:c>
      <x:c r="C14" s="9" t="str">
        <x:v>Сила I</x:v>
      </x:c>
      <x:c r="D14" s="9" t="str">
        <x:v>4 × 10 с + 6–8 тяжёлых попыток</x:v>
      </x:c>
      <x:c r="E14" s="9" t="str">
        <x:v>MoonBoard 6–8 попыток + техника</x:v>
      </x:c>
      <x:c r="F14" s="9" t="str">
        <x:v>Обычный</x:v>
      </x:c>
      <x:c r="G14" s="9" t="str">
        <x:v>Силовые висы с запасом 2–3 с; дополнительный вес только при переносимости.</x:v>
      </x:c>
      <x:c r="H14" s="13" t="n">
        <x:v>2</x:v>
      </x:c>
    </x:row>
    <x:row r="15" ht="69" customHeight="1">
      <x:c r="A15" s="12" t="n">
        <x:v>46335</x:v>
      </x:c>
      <x:c r="B15" s="12" t="n">
        <x:v>46341</x:v>
      </x:c>
      <x:c r="C15" s="3" t="str">
        <x:v>Сила I · разгрузка</x:v>
      </x:c>
      <x:c r="D15" s="3" t="str">
        <x:v>Половина подходов/попыток A</x:v>
      </x:c>
      <x:c r="E15" s="3" t="str">
        <x:v>Половина объёма B, без новых предельных движений</x:v>
      </x:c>
      <x:c r="F15" s="3" t="str">
        <x:v>Около 50%</x:v>
      </x:c>
      <x:c r="G15" s="3" t="str">
        <x:v>Силовые висы с запасом 2–3 с; дополнительный вес только при переносимости. Проверить динамику боли, кожи и восстановления.</x:v>
      </x:c>
      <x:c r="H15" s="14" t="n">
        <x:v>2</x:v>
      </x:c>
    </x:row>
    <x:row r="16" ht="69" customHeight="1">
      <x:c r="A16" s="11" t="n">
        <x:v>46342</x:v>
      </x:c>
      <x:c r="B16" s="11" t="n">
        <x:v>46348</x:v>
      </x:c>
      <x:c r="C16" s="9" t="str">
        <x:v>Закрепление</x:v>
      </x:c>
      <x:c r="D16" s="9" t="str">
        <x:v>2–3 × 7–10 с + знакомые проекты</x:v>
      </x:c>
      <x:c r="E16" s="9" t="str">
        <x:v>Повторения и техника, без рекордов</x:v>
      </x:c>
      <x:c r="F16" s="9" t="str">
        <x:v>Ниже обычного</x:v>
      </x:c>
      <x:c r="G16" s="9" t="str">
        <x:v>Без ударной недели перед поездкой.</x:v>
      </x:c>
      <x:c r="H16" s="13" t="n">
        <x:v>2</x:v>
      </x:c>
    </x:row>
    <x:row r="17" ht="69" customHeight="1">
      <x:c r="A17" s="12" t="n">
        <x:v>46349</x:v>
      </x:c>
      <x:c r="B17" s="12" t="n">
        <x:v>46355</x:v>
      </x:c>
      <x:c r="C17" s="3" t="str">
        <x:v>Япония: отдых</x:v>
      </x:c>
      <x:c r="D17" s="3" t="str">
        <x:v>Без лазания и силовой нагрузки на пальцы</x:v>
      </x:c>
      <x:c r="E17" s="3" t="str">
        <x:v>Прогулки; привычная назначенная ЛФК</x:v>
      </x:c>
      <x:c r="F17" s="3" t="str">
        <x:v>Полная пауза</x:v>
      </x:c>
      <x:c r="G17" s="3" t="str">
        <x:v>Условная первая неделя поездки. Полный отдых от тренировок допустим; не нужно компенсировать его висами.</x:v>
      </x:c>
      <x:c r="H17" s="14" t="n">
        <x:v>0</x:v>
      </x:c>
    </x:row>
    <x:row r="18" ht="69" customHeight="1">
      <x:c r="A18" s="11" t="n">
        <x:v>46356</x:v>
      </x:c>
      <x:c r="B18" s="11" t="n">
        <x:v>46362</x:v>
      </x:c>
      <x:c r="C18" s="9" t="str">
        <x:v>Япония: свободный режим</x:v>
      </x:c>
      <x:c r="D18" s="9" t="str">
        <x:v>По желанию 1 лёгкий зал, 60–75 мин</x:v>
      </x:c>
      <x:c r="E18" s="9" t="str">
        <x:v>Отдых</x:v>
      </x:c>
      <x:c r="F18" s="9" t="str">
        <x:v>Минимальный</x:v>
      </x:c>
      <x:c r="G18" s="9" t="str">
        <x:v>Знакомство с залом без охоты за максимумами; можно не лазать обе недели.</x:v>
      </x:c>
      <x:c r="H18" s="13" t="n">
        <x:v>1</x:v>
      </x:c>
    </x:row>
    <x:row r="19" ht="69" customHeight="1">
      <x:c r="A19" s="12" t="n">
        <x:v>46363</x:v>
      </x:c>
      <x:c r="B19" s="12" t="n">
        <x:v>46369</x:v>
      </x:c>
      <x:c r="C19" s="3" t="str">
        <x:v>Возвращение после поездки</x:v>
      </x:c>
      <x:c r="D19" s="3" t="str">
        <x:v>Сокращённое A, 70–90 мин</x:v>
      </x:c>
      <x:c r="E19" s="3" t="str">
        <x:v>Сокращённое B, знакомые движения</x:v>
      </x:c>
      <x:c r="F19" s="3" t="str">
        <x:v>50–70% прежнего</x:v>
      </x:c>
      <x:c r="G19" s="3" t="str">
        <x:v>Повторно привыкнуть к зацепкам и коже. Висы только если сохраняются условия допуска.</x:v>
      </x:c>
      <x:c r="H19" s="14" t="n">
        <x:v>2</x:v>
      </x:c>
    </x:row>
    <x:row r="20" ht="69" customHeight="1">
      <x:c r="A20" s="11" t="n">
        <x:v>46370</x:v>
      </x:c>
      <x:c r="B20" s="11" t="n">
        <x:v>46376</x:v>
      </x:c>
      <x:c r="C20" s="9" t="str">
        <x:v>Возвращение после поездки</x:v>
      </x:c>
      <x:c r="D20" s="9" t="str">
        <x:v>Сокращённое A, 70–90 мин</x:v>
      </x:c>
      <x:c r="E20" s="9" t="str">
        <x:v>Сокращённое B, знакомые движения</x:v>
      </x:c>
      <x:c r="F20" s="9" t="str">
        <x:v>50–70% прежнего</x:v>
      </x:c>
      <x:c r="G20" s="9" t="str">
        <x:v>Повторно привыкнуть к зацепкам и коже. Висы только если сохраняются условия допуска.</x:v>
      </x:c>
      <x:c r="H20" s="13" t="n">
        <x:v>2</x:v>
      </x:c>
    </x:row>
    <x:row r="21" ht="69" customHeight="1">
      <x:c r="A21" s="12" t="n">
        <x:v>46377</x:v>
      </x:c>
      <x:c r="B21" s="12" t="n">
        <x:v>46383</x:v>
      </x:c>
      <x:c r="C21" s="3" t="str">
        <x:v>Праздники / поддержание</x:v>
      </x:c>
      <x:c r="D21" s="3" t="str">
        <x:v>Короткая техника + 2–3 виса при готовности</x:v>
      </x:c>
      <x:c r="E21" s="3" t="str">
        <x:v>Свободное умеренное лазание</x:v>
      </x:c>
      <x:c r="F21" s="3" t="str">
        <x:v>Гибкий</x:v>
      </x:c>
      <x:c r="G21" s="3" t="str">
        <x:v>Возможен второй отпуск. После перерыва возвращаться с меньшим объёмом.</x:v>
      </x:c>
      <x:c r="H21" s="14" t="n">
        <x:v>2</x:v>
      </x:c>
    </x:row>
    <x:row r="22" ht="69" customHeight="1">
      <x:c r="A22" s="11" t="n">
        <x:v>46384</x:v>
      </x:c>
      <x:c r="B22" s="11" t="n">
        <x:v>46390</x:v>
      </x:c>
      <x:c r="C22" s="9" t="str">
        <x:v>Праздники / поддержание</x:v>
      </x:c>
      <x:c r="D22" s="9" t="str">
        <x:v>Короткая техника + 2–3 виса при готовности</x:v>
      </x:c>
      <x:c r="E22" s="9" t="str">
        <x:v>Свободное умеренное лазание</x:v>
      </x:c>
      <x:c r="F22" s="9" t="str">
        <x:v>Гибкий</x:v>
      </x:c>
      <x:c r="G22" s="9" t="str">
        <x:v>Возможен второй отпуск. После перерыва возвращаться с меньшим объёмом.</x:v>
      </x:c>
      <x:c r="H22" s="13" t="n">
        <x:v>2</x:v>
      </x:c>
    </x:row>
    <x:row r="23" ht="69" customHeight="1">
      <x:c r="A23" s="12" t="n">
        <x:v>46391</x:v>
      </x:c>
      <x:c r="B23" s="12" t="n">
        <x:v>46397</x:v>
      </x:c>
      <x:c r="C23" s="3" t="str">
        <x:v>Сила II</x:v>
      </x:c>
      <x:c r="D23" s="3" t="str">
        <x:v>4–5 × 10 с + 6–10 тяжёлых попыток</x:v>
      </x:c>
      <x:c r="E23" s="3" t="str">
        <x:v>MoonBoard 6–10 попыток + флаги / носки</x:v>
      </x:c>
      <x:c r="F23" s="3" t="str">
        <x:v>Обычный</x:v>
      </x:c>
      <x:c r="G23" s="3" t="str">
        <x:v>Не увеличивать одновременно число висов, вес и попытки на стене.</x:v>
      </x:c>
      <x:c r="H23" s="14" t="n">
        <x:v>2</x:v>
      </x:c>
    </x:row>
    <x:row r="24" ht="69" customHeight="1">
      <x:c r="A24" s="11" t="n">
        <x:v>46398</x:v>
      </x:c>
      <x:c r="B24" s="11" t="n">
        <x:v>46404</x:v>
      </x:c>
      <x:c r="C24" s="9" t="str">
        <x:v>Сила II</x:v>
      </x:c>
      <x:c r="D24" s="9" t="str">
        <x:v>4–5 × 10 с + 6–10 тяжёлых попыток</x:v>
      </x:c>
      <x:c r="E24" s="9" t="str">
        <x:v>MoonBoard 6–10 попыток + флаги / носки</x:v>
      </x:c>
      <x:c r="F24" s="9" t="str">
        <x:v>Обычный</x:v>
      </x:c>
      <x:c r="G24" s="9" t="str">
        <x:v>Не увеличивать одновременно число висов, вес и попытки на стене.</x:v>
      </x:c>
      <x:c r="H24" s="13" t="n">
        <x:v>2</x:v>
      </x:c>
    </x:row>
    <x:row r="25" ht="69" customHeight="1">
      <x:c r="A25" s="12" t="n">
        <x:v>46405</x:v>
      </x:c>
      <x:c r="B25" s="12" t="n">
        <x:v>46411</x:v>
      </x:c>
      <x:c r="C25" s="3" t="str">
        <x:v>Сила II</x:v>
      </x:c>
      <x:c r="D25" s="3" t="str">
        <x:v>4–5 × 10 с + 6–10 тяжёлых попыток</x:v>
      </x:c>
      <x:c r="E25" s="3" t="str">
        <x:v>MoonBoard 6–10 попыток + флаги / носки</x:v>
      </x:c>
      <x:c r="F25" s="3" t="str">
        <x:v>Обычный</x:v>
      </x:c>
      <x:c r="G25" s="3" t="str">
        <x:v>Не увеличивать одновременно число висов, вес и попытки на стене.</x:v>
      </x:c>
      <x:c r="H25" s="14" t="n">
        <x:v>2</x:v>
      </x:c>
    </x:row>
    <x:row r="26" ht="69" customHeight="1">
      <x:c r="A26" s="11" t="n">
        <x:v>46412</x:v>
      </x:c>
      <x:c r="B26" s="11" t="n">
        <x:v>46418</x:v>
      </x:c>
      <x:c r="C26" s="9" t="str">
        <x:v>Сила II · разгрузка</x:v>
      </x:c>
      <x:c r="D26" s="9" t="str">
        <x:v>Половина подходов/попыток A</x:v>
      </x:c>
      <x:c r="E26" s="9" t="str">
        <x:v>Половина объёма B, без новых предельных движений</x:v>
      </x:c>
      <x:c r="F26" s="9" t="str">
        <x:v>Около 50%</x:v>
      </x:c>
      <x:c r="G26" s="9" t="str">
        <x:v>Не увеличивать одновременно число висов, вес и попытки на стене. Проверить динамику боли, кожи и восстановления.</x:v>
      </x:c>
      <x:c r="H26" s="13" t="n">
        <x:v>2</x:v>
      </x:c>
    </x:row>
    <x:row r="27" ht="69" customHeight="1">
      <x:c r="A27" s="12" t="n">
        <x:v>46419</x:v>
      </x:c>
      <x:c r="B27" s="12" t="n">
        <x:v>46425</x:v>
      </x:c>
      <x:c r="C27" s="3" t="str">
        <x:v>Мощность / MoonBoard</x:v>
      </x:c>
      <x:c r="D27" s="3" t="str">
        <x:v>Поддержание: 2–3 виса + проекты</x:v>
      </x:c>
      <x:c r="E27" s="3" t="str">
        <x:v>MoonBoard: 6–10 качественных попыток</x:v>
      </x:c>
      <x:c r="F27" s="3" t="str">
        <x:v>Мало, качественно</x:v>
      </x:c>
      <x:c r="G27" s="3" t="str">
        <x:v>Добавить управляемые быстрые движения лишь при здоровой кисти; кампус не обязателен.</x:v>
      </x:c>
      <x:c r="H27" s="14" t="n">
        <x:v>2</x:v>
      </x:c>
    </x:row>
    <x:row r="28" ht="69" customHeight="1">
      <x:c r="A28" s="11" t="n">
        <x:v>46426</x:v>
      </x:c>
      <x:c r="B28" s="11" t="n">
        <x:v>46432</x:v>
      </x:c>
      <x:c r="C28" s="9" t="str">
        <x:v>Мощность / MoonBoard</x:v>
      </x:c>
      <x:c r="D28" s="9" t="str">
        <x:v>Поддержание: 2–3 виса + проекты</x:v>
      </x:c>
      <x:c r="E28" s="9" t="str">
        <x:v>MoonBoard: 6–10 качественных попыток</x:v>
      </x:c>
      <x:c r="F28" s="9" t="str">
        <x:v>Мало, качественно</x:v>
      </x:c>
      <x:c r="G28" s="9" t="str">
        <x:v>Добавить управляемые быстрые движения лишь при здоровой кисти; кампус не обязателен.</x:v>
      </x:c>
      <x:c r="H28" s="13" t="n">
        <x:v>2</x:v>
      </x:c>
    </x:row>
    <x:row r="29" ht="69" customHeight="1">
      <x:c r="A29" s="12" t="n">
        <x:v>46433</x:v>
      </x:c>
      <x:c r="B29" s="12" t="n">
        <x:v>46439</x:v>
      </x:c>
      <x:c r="C29" s="3" t="str">
        <x:v>Мощность / MoonBoard</x:v>
      </x:c>
      <x:c r="D29" s="3" t="str">
        <x:v>Поддержание: 2–3 виса + проекты</x:v>
      </x:c>
      <x:c r="E29" s="3" t="str">
        <x:v>MoonBoard: 6–10 качественных попыток</x:v>
      </x:c>
      <x:c r="F29" s="3" t="str">
        <x:v>Мало, качественно</x:v>
      </x:c>
      <x:c r="G29" s="3" t="str">
        <x:v>Добавить управляемые быстрые движения лишь при здоровой кисти; кампус не обязателен.</x:v>
      </x:c>
      <x:c r="H29" s="14" t="n">
        <x:v>2</x:v>
      </x:c>
    </x:row>
    <x:row r="30" ht="69" customHeight="1">
      <x:c r="A30" s="11" t="n">
        <x:v>46440</x:v>
      </x:c>
      <x:c r="B30" s="11" t="n">
        <x:v>46446</x:v>
      </x:c>
      <x:c r="C30" s="9" t="str">
        <x:v>Мощность / MoonBoard · разгрузка</x:v>
      </x:c>
      <x:c r="D30" s="9" t="str">
        <x:v>Половина подходов/попыток A</x:v>
      </x:c>
      <x:c r="E30" s="9" t="str">
        <x:v>Половина объёма B, без новых предельных движений</x:v>
      </x:c>
      <x:c r="F30" s="9" t="str">
        <x:v>Около 50%</x:v>
      </x:c>
      <x:c r="G30" s="9" t="str">
        <x:v>Добавить управляемые быстрые движения лишь при здоровой кисти; кампус не обязателен. Проверить динамику боли, кожи и восстановления.</x:v>
      </x:c>
      <x:c r="H30" s="13" t="n">
        <x:v>2</x:v>
      </x:c>
    </x:row>
    <x:row r="31" ht="69" customHeight="1">
      <x:c r="A31" s="12" t="n">
        <x:v>46447</x:v>
      </x:c>
      <x:c r="B31" s="12" t="n">
        <x:v>46453</x:v>
      </x:c>
      <x:c r="C31" s="3" t="str">
        <x:v>Связки / повторные усилия</x:v>
      </x:c>
      <x:c r="D31" s="3" t="str">
        <x:v>2–3 виса + работа над 7A/7A+</x:v>
      </x:c>
      <x:c r="E31" s="3" t="str">
        <x:v>Чередовать MoonBoard и 3 пары знакомых боулдеров</x:v>
      </x:c>
      <x:c r="F31" s="3" t="str">
        <x:v>Специфический</x:v>
      </x:c>
      <x:c r="G31" s="3" t="str">
        <x:v>Пары трасс нужны, если движения по отдельности есть, а связка разваливается от утомления.</x:v>
      </x:c>
      <x:c r="H31" s="14" t="n">
        <x:v>2</x:v>
      </x:c>
    </x:row>
    <x:row r="32" ht="69" customHeight="1">
      <x:c r="A32" s="11" t="n">
        <x:v>46454</x:v>
      </x:c>
      <x:c r="B32" s="11" t="n">
        <x:v>46460</x:v>
      </x:c>
      <x:c r="C32" s="9" t="str">
        <x:v>Связки / повторные усилия</x:v>
      </x:c>
      <x:c r="D32" s="9" t="str">
        <x:v>2–3 виса + работа над 7A/7A+</x:v>
      </x:c>
      <x:c r="E32" s="9" t="str">
        <x:v>Чередовать MoonBoard и 3 пары знакомых боулдеров</x:v>
      </x:c>
      <x:c r="F32" s="9" t="str">
        <x:v>Специфический</x:v>
      </x:c>
      <x:c r="G32" s="9" t="str">
        <x:v>Пары трасс нужны, если движения по отдельности есть, а связка разваливается от утомления.</x:v>
      </x:c>
      <x:c r="H32" s="13" t="n">
        <x:v>2</x:v>
      </x:c>
    </x:row>
    <x:row r="33" ht="69" customHeight="1">
      <x:c r="A33" s="12" t="n">
        <x:v>46461</x:v>
      </x:c>
      <x:c r="B33" s="12" t="n">
        <x:v>46467</x:v>
      </x:c>
      <x:c r="C33" s="3" t="str">
        <x:v>Связки / повторные усилия</x:v>
      </x:c>
      <x:c r="D33" s="3" t="str">
        <x:v>2–3 виса + работа над 7A/7A+</x:v>
      </x:c>
      <x:c r="E33" s="3" t="str">
        <x:v>Чередовать MoonBoard и 3 пары знакомых боулдеров</x:v>
      </x:c>
      <x:c r="F33" s="3" t="str">
        <x:v>Специфический</x:v>
      </x:c>
      <x:c r="G33" s="3" t="str">
        <x:v>Пары трасс нужны, если движения по отдельности есть, а связка разваливается от утомления.</x:v>
      </x:c>
      <x:c r="H33" s="14" t="n">
        <x:v>2</x:v>
      </x:c>
    </x:row>
    <x:row r="34" ht="69" customHeight="1">
      <x:c r="A34" s="11" t="n">
        <x:v>46468</x:v>
      </x:c>
      <x:c r="B34" s="11" t="n">
        <x:v>46474</x:v>
      </x:c>
      <x:c r="C34" s="9" t="str">
        <x:v>Связки / повторные усилия · разгрузка</x:v>
      </x:c>
      <x:c r="D34" s="9" t="str">
        <x:v>Половина подходов/попыток A</x:v>
      </x:c>
      <x:c r="E34" s="9" t="str">
        <x:v>Половина объёма B, без новых предельных движений</x:v>
      </x:c>
      <x:c r="F34" s="9" t="str">
        <x:v>Около 50%</x:v>
      </x:c>
      <x:c r="G34" s="9" t="str">
        <x:v>Пары трасс нужны, если движения по отдельности есть, а связка разваливается от утомления. Проверить динамику боли, кожи и восстановления.</x:v>
      </x:c>
      <x:c r="H34" s="13" t="n">
        <x:v>2</x:v>
      </x:c>
    </x:row>
    <x:row r="35" ht="69" customHeight="1">
      <x:c r="A35" s="12" t="n">
        <x:v>46475</x:v>
      </x:c>
      <x:c r="B35" s="12" t="n">
        <x:v>46481</x:v>
      </x:c>
      <x:c r="C35" s="3" t="str">
        <x:v>Перенос в проекты</x:v>
      </x:c>
      <x:c r="D35" s="3" t="str">
        <x:v>7A / 7A+: 8–12 тяжёлых попыток</x:v>
      </x:c>
      <x:c r="E35" s="3" t="str">
        <x:v>MoonBoard + слабый стиль</x:v>
      </x:c>
      <x:c r="F35" s="3" t="str">
        <x:v>Обычный</x:v>
      </x:c>
      <x:c r="G35" s="3" t="str">
        <x:v>Силу поддерживать 2–3 висами раз в 7–10 дней, заменяя часть попыток.</x:v>
      </x:c>
      <x:c r="H35" s="14" t="n">
        <x:v>2</x:v>
      </x:c>
    </x:row>
    <x:row r="36" ht="69" customHeight="1">
      <x:c r="A36" s="11" t="n">
        <x:v>46482</x:v>
      </x:c>
      <x:c r="B36" s="11" t="n">
        <x:v>46488</x:v>
      </x:c>
      <x:c r="C36" s="9" t="str">
        <x:v>Перенос в проекты</x:v>
      </x:c>
      <x:c r="D36" s="9" t="str">
        <x:v>7A / 7A+: 8–12 тяжёлых попыток</x:v>
      </x:c>
      <x:c r="E36" s="9" t="str">
        <x:v>MoonBoard + слабый стиль</x:v>
      </x:c>
      <x:c r="F36" s="9" t="str">
        <x:v>Обычный</x:v>
      </x:c>
      <x:c r="G36" s="9" t="str">
        <x:v>Силу поддерживать 2–3 висами раз в 7–10 дней, заменяя часть попыток.</x:v>
      </x:c>
      <x:c r="H36" s="13" t="n">
        <x:v>2</x:v>
      </x:c>
    </x:row>
    <x:row r="37" ht="69" customHeight="1">
      <x:c r="A37" s="12" t="n">
        <x:v>46489</x:v>
      </x:c>
      <x:c r="B37" s="12" t="n">
        <x:v>46495</x:v>
      </x:c>
      <x:c r="C37" s="3" t="str">
        <x:v>Перенос в проекты</x:v>
      </x:c>
      <x:c r="D37" s="3" t="str">
        <x:v>7A / 7A+: 8–12 тяжёлых попыток</x:v>
      </x:c>
      <x:c r="E37" s="3" t="str">
        <x:v>MoonBoard + слабый стиль</x:v>
      </x:c>
      <x:c r="F37" s="3" t="str">
        <x:v>Обычный</x:v>
      </x:c>
      <x:c r="G37" s="3" t="str">
        <x:v>Силу поддерживать 2–3 висами раз в 7–10 дней, заменяя часть попыток.</x:v>
      </x:c>
      <x:c r="H37" s="14" t="n">
        <x:v>2</x:v>
      </x:c>
    </x:row>
    <x:row r="38" ht="69" customHeight="1">
      <x:c r="A38" s="11" t="n">
        <x:v>46496</x:v>
      </x:c>
      <x:c r="B38" s="11" t="n">
        <x:v>46502</x:v>
      </x:c>
      <x:c r="C38" s="9" t="str">
        <x:v>Перенос в проекты · разгрузка</x:v>
      </x:c>
      <x:c r="D38" s="9" t="str">
        <x:v>Половина подходов/попыток A</x:v>
      </x:c>
      <x:c r="E38" s="9" t="str">
        <x:v>Половина объёма B, без новых предельных движений</x:v>
      </x:c>
      <x:c r="F38" s="9" t="str">
        <x:v>Около 50%</x:v>
      </x:c>
      <x:c r="G38" s="9" t="str">
        <x:v>Силу поддерживать 2–3 висами раз в 7–10 дней, заменяя часть попыток. Проверить динамику боли, кожи и восстановления.</x:v>
      </x:c>
      <x:c r="H38" s="13" t="n">
        <x:v>2</x:v>
      </x:c>
    </x:row>
    <x:row r="39" ht="69" customHeight="1">
      <x:c r="A39" s="12" t="n">
        <x:v>46503</x:v>
      </x:c>
      <x:c r="B39" s="12" t="n">
        <x:v>46509</x:v>
      </x:c>
      <x:c r="C39" s="3" t="str">
        <x:v>Результат / скальный стиль</x:v>
      </x:c>
      <x:c r="D39" s="3" t="str">
        <x:v>2–3 новых 7A при готовности</x:v>
      </x:c>
      <x:c r="E39" s="3" t="str">
        <x:v>7A+ проект / знакомые benchmarks</x:v>
      </x:c>
      <x:c r="F39" s="3" t="str">
        <x:v>Приоритет пролазам</x:v>
      </x:c>
      <x:c r="G39" s="3" t="str">
        <x:v>Первые 2 недели включить контрольные занятия. Без дополнительного добивания ОФП.</x:v>
      </x:c>
      <x:c r="H39" s="14" t="n">
        <x:v>2</x:v>
      </x:c>
    </x:row>
    <x:row r="40" ht="69" customHeight="1">
      <x:c r="A40" s="11" t="n">
        <x:v>46510</x:v>
      </x:c>
      <x:c r="B40" s="11" t="n">
        <x:v>46516</x:v>
      </x:c>
      <x:c r="C40" s="9" t="str">
        <x:v>Результат / скальный стиль</x:v>
      </x:c>
      <x:c r="D40" s="9" t="str">
        <x:v>2–3 новых 7A при готовности</x:v>
      </x:c>
      <x:c r="E40" s="9" t="str">
        <x:v>7A+ проект / знакомые benchmarks</x:v>
      </x:c>
      <x:c r="F40" s="9" t="str">
        <x:v>Приоритет пролазам</x:v>
      </x:c>
      <x:c r="G40" s="9" t="str">
        <x:v>Первые 2 недели включить контрольные занятия. Без дополнительного добивания ОФП.</x:v>
      </x:c>
      <x:c r="H40" s="13" t="n">
        <x:v>2</x:v>
      </x:c>
    </x:row>
    <x:row r="41" ht="69" customHeight="1">
      <x:c r="A41" s="12" t="n">
        <x:v>46517</x:v>
      </x:c>
      <x:c r="B41" s="12" t="n">
        <x:v>46523</x:v>
      </x:c>
      <x:c r="C41" s="3" t="str">
        <x:v>Результат / скальный стиль</x:v>
      </x:c>
      <x:c r="D41" s="3" t="str">
        <x:v>2–3 новых 7A при готовности</x:v>
      </x:c>
      <x:c r="E41" s="3" t="str">
        <x:v>7A+ проект / знакомые benchmarks</x:v>
      </x:c>
      <x:c r="F41" s="3" t="str">
        <x:v>Приоритет пролазам</x:v>
      </x:c>
      <x:c r="G41" s="3" t="str">
        <x:v>Первые 2 недели включить контрольные занятия. Без дополнительного добивания ОФП.</x:v>
      </x:c>
      <x:c r="H41" s="14" t="n">
        <x:v>2</x:v>
      </x:c>
    </x:row>
    <x:row r="42" ht="69" customHeight="1">
      <x:c r="A42" s="11" t="n">
        <x:v>46524</x:v>
      </x:c>
      <x:c r="B42" s="11" t="n">
        <x:v>46530</x:v>
      </x:c>
      <x:c r="C42" s="9" t="str">
        <x:v>Результат / скальный стиль</x:v>
      </x:c>
      <x:c r="D42" s="9" t="str">
        <x:v>2–3 новых 7A при готовности</x:v>
      </x:c>
      <x:c r="E42" s="9" t="str">
        <x:v>7A+ проект / знакомые benchmarks</x:v>
      </x:c>
      <x:c r="F42" s="9" t="str">
        <x:v>Приоритет пролазам</x:v>
      </x:c>
      <x:c r="G42" s="9" t="str">
        <x:v>Первые 2 недели включить контрольные занятия. Без дополнительного добивания ОФП.</x:v>
      </x:c>
      <x:c r="H42" s="13" t="n">
        <x:v>2</x:v>
      </x:c>
    </x:row>
    <x:row r="43" ht="69" customHeight="1">
      <x:c r="A43" s="12" t="n">
        <x:v>46531</x:v>
      </x:c>
      <x:c r="B43" s="12" t="n">
        <x:v>46537</x:v>
      </x:c>
      <x:c r="C43" s="3" t="str">
        <x:v>Подводка к выезду</x:v>
      </x:c>
      <x:c r="D43" s="3" t="str">
        <x:v>Короткое качественное лазание</x:v>
      </x:c>
      <x:c r="E43" s="3" t="str">
        <x:v>Короткое лёгкое занятие или отдых</x:v>
      </x:c>
      <x:c r="F43" s="3" t="str">
        <x:v>40–60% обычного</x:v>
      </x:c>
      <x:c r="G43" s="3" t="str">
        <x:v>Последняя тяжёлая тренировка ориентировочно за 3–5 дней до выезда; сдвинуть под фактическую дату.</x:v>
      </x:c>
      <x:c r="H43" s="14" t="n">
        <x:v>2</x:v>
      </x:c>
    </x:row>
    <x:row r="44" ht="28" customHeight="1">
      <x:c r="A44" s="3"/>
      <x:c r="B44" s="3"/>
      <x:c r="C44" s="3"/>
      <x:c r="D44" s="3"/>
      <x:c r="E44" s="3"/>
      <x:c r="F44" s="3"/>
      <x:c r="G44" s="3"/>
      <x:c r="H44" s="3"/>
    </x:row>
  </x:sheetData>
  <x:mergeCells>
    <x:mergeCell ref="A1:H1"/>
    <x:mergeCell ref="A3:H4"/>
  </x:mergeCells>
  <x:conditionalFormatting sqref="C6:C43">
    <x:cfRule type="containsText" dxfId="0" priority="1" operator="containsText" text="разгрузка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3.889999389648438" hidden="0" customWidth="1"/>
    <x:col min="3" max="3" width="11.109999656677246" hidden="0" customWidth="1"/>
    <x:col min="4" max="4" width="33.33000183105469" hidden="0" customWidth="1"/>
    <x:col min="5" max="5" width="59.439998626708984" hidden="0" customWidth="1"/>
  </x:cols>
  <x:sheetData>
    <x:row r="1" ht="33" customHeight="1">
      <x:c r="A1" s="5" t="str">
        <x:v>КАРТОЧКИ ЗАНЯТИЙ И УПРАЖНЕНИЙ</x:v>
      </x:c>
      <x:c r="B1" s="5" t="str">
        <x:v>КАРТОЧКИ ЗАНЯТИЙ И УПРАЖНЕНИЙ</x:v>
      </x:c>
      <x:c r="C1" s="5" t="str">
        <x:v>КАРТОЧКИ ЗАНЯТИЙ И УПРАЖНЕНИЙ</x:v>
      </x:c>
      <x:c r="D1" s="5" t="str">
        <x:v>КАРТОЧКИ ЗАНЯТИЙ И УПРАЖНЕНИЙ</x:v>
      </x:c>
      <x:c r="E1" s="5" t="str">
        <x:v>КАРТОЧКИ ЗАНЯТИЙ И УПРАЖНЕНИЙ</x:v>
      </x:c>
    </x:row>
    <x:row r="2" ht="28" customHeight="1">
      <x:c r="A2" s="3"/>
      <x:c r="B2" s="3"/>
      <x:c r="C2" s="3"/>
      <x:c r="D2" s="3"/>
      <x:c r="E2" s="3"/>
    </x:row>
    <x:row r="3" ht="20.25" customHeight="1">
      <x:c r="A3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  <x:c r="B3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  <x:c r="C3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  <x:c r="D3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  <x:c r="E3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</x:row>
    <x:row r="4" ht="20.25" customHeight="1">
      <x:c r="A4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  <x:c r="B4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  <x:c r="C4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  <x:c r="D4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  <x:c r="E4" s="6" t="str">
        <x:v>R — применяется сейчас. A, B и F — условные последующие этапы: после очной оценки и устойчивой переносимости. Указанные дозы — начальная настройка, а не обязательство выполнить их через боль.</x:v>
      </x:c>
    </x:row>
    <x:row r="5" ht="33.75" customHeight="1">
      <x:c r="A5" s="8" t="str">
        <x:v>Режим</x:v>
      </x:c>
      <x:c r="B5" s="8" t="str">
        <x:v>Блок</x:v>
      </x:c>
      <x:c r="C5" s="8" t="str">
        <x:v>Минуты</x:v>
      </x:c>
      <x:c r="D5" s="8" t="str">
        <x:v>Дозировка</x:v>
      </x:c>
      <x:c r="E5" s="8" t="str">
        <x:v>Как выполнять / менять</x:v>
      </x:c>
    </x:row>
    <x:row r="6" ht="68.25" customHeight="1">
      <x:c r="A6" s="9" t="str">
        <x:v>R</x:v>
      </x:c>
      <x:c r="B6" s="9" t="str">
        <x:v>Разминка</x:v>
      </x:c>
      <x:c r="C6" s="13" t="n">
        <x:v>20</x:v>
      </x:c>
      <x:c r="D6" s="9" t="str">
        <x:v>5 мин общего движения + суставы + 4–6 лёгких трасс</x:v>
      </x:c>
      <x:c r="E6" s="9" t="str">
        <x:v>Без взрывных подтягиваний в начале. Постепенно включать пальцы; отдых 45–90 с между лёгкими трассами.</x:v>
      </x:c>
    </x:row>
    <x:row r="7" ht="68.25" customHeight="1">
      <x:c r="A7" s="3" t="str">
        <x:v>R</x:v>
      </x:c>
      <x:c r="B7" s="3" t="str">
        <x:v>Основное лазание</x:v>
      </x:c>
      <x:c r="C7" s="14" t="n">
        <x:v>30</x:v>
      </x:c>
      <x:c r="D7" s="3" t="str">
        <x:v>6–10 безболезненных трасс, преимущественно 5C–6B</x:v>
      </x:c>
      <x:c r="E7" s="3" t="str">
        <x:v>Усилие до 5–6/10. Остановка до ухудшения движений и раздражения кожи. Небольшие зацепки только при полном комфорте.</x:v>
      </x:c>
    </x:row>
    <x:row r="8" ht="68.25" customHeight="1">
      <x:c r="A8" s="9" t="str">
        <x:v>R</x:v>
      </x:c>
      <x:c r="B8" s="9" t="str">
        <x:v>Техника</x:v>
      </x:c>
      <x:c r="C8" s="13" t="n">
        <x:v>15</x:v>
      </x:c>
      <x:c r="D8" s="9" t="str">
        <x:v>2–3 низкие последовательности, по 2–3 повтора</x:v>
      </x:c>
      <x:c r="E8" s="9" t="str">
        <x:v>Флаги, постановка ноги, разворот корпуса на удобных зацепках. Задача — повторяемость, не утомление.</x:v>
      </x:c>
    </x:row>
    <x:row r="9" ht="68.25" customHeight="1">
      <x:c r="A9" s="3" t="str">
        <x:v>R</x:v>
      </x:c>
      <x:c r="B9" s="3" t="str">
        <x:v>ЛФК / запись</x:v>
      </x:c>
      <x:c r="C9" s="14" t="n">
        <x:v>10</x:v>
      </x:c>
      <x:c r="D9" s="3" t="str">
        <x:v>Привычная безболезненная ЛФК плеча + заметка</x:v>
      </x:c>
      <x:c r="E9" s="3" t="str">
        <x:v>Новые силовые упражнения для больного запястья — после оценки. При боли провоцирующий блок завершить.</x:v>
      </x:c>
    </x:row>
    <x:row r="10" ht="68.25" customHeight="1">
      <x:c r="A10" s="9" t="str">
        <x:v>A</x:v>
      </x:c>
      <x:c r="B10" s="9" t="str">
        <x:v>Разминка</x:v>
      </x:c>
      <x:c r="C10" s="13" t="n">
        <x:v>25</x:v>
      </x:c>
      <x:c r="D10" s="9" t="str">
        <x:v>Общее движение, плечи, 6–8 лёгких / умеренных трасс</x:v>
      </x:c>
      <x:c r="E10" s="9" t="str">
        <x:v>Не проходить всё подряд. Последние разминочные движения близки по хвату и наклону к основной работе.</x:v>
      </x:c>
    </x:row>
    <x:row r="11" ht="68.25" customHeight="1">
      <x:c r="A11" s="3" t="str">
        <x:v>A</x:v>
      </x:c>
      <x:c r="B11" s="3" t="str">
        <x:v>Пальцы — F</x:v>
      </x:c>
      <x:c r="C11" s="14" t="n">
        <x:v>15</x:v>
      </x:c>
      <x:c r="D11" s="3" t="str">
        <x:v>Сначала 3 × 7 с; позднее 4 × 10 с</x:v>
      </x:c>
      <x:c r="E11" s="3" t="str">
        <x:v>Режимы F ниже. Если висы пока не разрешены — заменить спокойной техникой, не дополнительными тяжёлыми попытками.</x:v>
      </x:c>
    </x:row>
    <x:row r="12" ht="68.25" customHeight="1">
      <x:c r="A12" s="9" t="str">
        <x:v>A</x:v>
      </x:c>
      <x:c r="B12" s="9" t="str">
        <x:v>Проекты</x:v>
      </x:c>
      <x:c r="C12" s="13" t="n">
        <x:v>35</x:v>
      </x:c>
      <x:c r="D12" s="9" t="str">
        <x:v>В начале 6–8 тяжёлых попыток за весь блок</x:v>
      </x:c>
      <x:c r="E12" s="9" t="str">
        <x:v>2–3 выбранных боулдера; один может быть учебным в слабом стиле. После каждого усилия 3–5 мин отдыха.</x:v>
      </x:c>
    </x:row>
    <x:row r="13" ht="68.25" customHeight="1">
      <x:c r="A13" s="3" t="str">
        <x:v>A</x:v>
      </x:c>
      <x:c r="B13" s="3" t="str">
        <x:v>Свободное лазание / техника</x:v>
      </x:c>
      <x:c r="C13" s="14" t="n">
        <x:v>20</x:v>
      </x:c>
      <x:c r="D13" s="3" t="str">
        <x:v>Знакомые и приятные трассы, умеренная сложность</x:v>
      </x:c>
      <x:c r="E13" s="3" t="str">
        <x:v>В этот блок нельзя переносить невыполненный лимит проекта. Сохранять качество движений и кожу.</x:v>
      </x:c>
    </x:row>
    <x:row r="14" ht="68.25" customHeight="1">
      <x:c r="A14" s="9" t="str">
        <x:v>A</x:v>
      </x:c>
      <x:c r="B14" s="9" t="str">
        <x:v>ОФП / ЛФК</x:v>
      </x:c>
      <x:c r="C14" s="13" t="n">
        <x:v>15</x:v>
      </x:c>
      <x:c r="D14" s="9" t="str">
        <x:v>Сплит-присед + dead bug + привычная ЛФК</x:v>
      </x:c>
      <x:c r="E14" s="9" t="str">
        <x:v>ОФП ниже. Первые 2 недели добавления — 1 подход каждого упражнения, затем 2 при хорошем восстановлении.</x:v>
      </x:c>
    </x:row>
    <x:row r="15" ht="68.25" customHeight="1">
      <x:c r="A15" s="3" t="str">
        <x:v>B</x:v>
      </x:c>
      <x:c r="B15" s="3" t="str">
        <x:v>Разминка</x:v>
      </x:c>
      <x:c r="C15" s="14" t="n">
        <x:v>25</x:v>
      </x:c>
      <x:c r="D15" s="3" t="str">
        <x:v>Аналогично A</x:v>
      </x:c>
      <x:c r="E15" s="3" t="str">
        <x:v>Первые движения на доске делать на удобных зацепках и без предельных рывков.</x:v>
      </x:c>
    </x:row>
    <x:row r="16" ht="68.25" customHeight="1">
      <x:c r="A16" s="9" t="str">
        <x:v>B</x:v>
      </x:c>
      <x:c r="B16" s="9" t="str">
        <x:v>MoonBoard</x:v>
      </x:c>
      <x:c r="C16" s="13" t="n">
        <x:v>30</x:v>
      </x:c>
      <x:c r="D16" s="9" t="str">
        <x:v>Начать с 4–6 попыток; затем 6–8</x:v>
      </x:c>
      <x:c r="E16" s="9" t="str">
        <x:v>Один раз/неделю. Работа по 1–3 движения допустима. При чрезмерной сложности заменить низкой секцией обычной стены.</x:v>
      </x:c>
    </x:row>
    <x:row r="17" ht="68.25" customHeight="1">
      <x:c r="A17" s="3" t="str">
        <x:v>B</x:v>
      </x:c>
      <x:c r="B17" s="3" t="str">
        <x:v>Слабые движения</x:v>
      </x:c>
      <x:c r="C17" s="14" t="n">
        <x:v>20</x:v>
      </x:c>
      <x:c r="D17" s="3" t="str">
        <x:v>2–3 задачи: флаг, носок, тесный старт</x:v>
      </x:c>
      <x:c r="E17" s="3" t="str">
        <x:v>Использовать крупные зацепки, если пальцы ограничивают изучение положения тела. Не совмещать все слабости в одной задаче.</x:v>
      </x:c>
    </x:row>
    <x:row r="18" ht="68.25" customHeight="1">
      <x:c r="A18" s="9" t="str">
        <x:v>B</x:v>
      </x:c>
      <x:c r="B18" s="9" t="str">
        <x:v>Свободное лазание</x:v>
      </x:c>
      <x:c r="C18" s="13" t="n">
        <x:v>20</x:v>
      </x:c>
      <x:c r="D18" s="9" t="str">
        <x:v>Умеренные трассы или короткая работа с проектом</x:v>
      </x:c>
      <x:c r="E18" s="9" t="str">
        <x:v>Дополнительные тяжёлые попытки учитываются в общем лимите B. При усталости этот блок пропустить.</x:v>
      </x:c>
    </x:row>
    <x:row r="19" ht="68.25" customHeight="1">
      <x:c r="A19" s="3" t="str">
        <x:v>B</x:v>
      </x:c>
      <x:c r="B19" s="3" t="str">
        <x:v>ОФП / ЛФК</x:v>
      </x:c>
      <x:c r="C19" s="14" t="n">
        <x:v>15</x:v>
      </x:c>
      <x:c r="D19" s="3" t="str">
        <x:v>Тяга + боковая планка + привычная ЛФК</x:v>
      </x:c>
      <x:c r="E19" s="3" t="str">
        <x:v>Нейтральный удобный хват; ни одно упражнение не должно провоцировать боль в кисти / плече.</x:v>
      </x:c>
    </x:row>
    <x:row r="20" ht="68.25" customHeight="1">
      <x:c r="A20" s="9" t="str">
        <x:v>C</x:v>
      </x:c>
      <x:c r="B20" s="9" t="str">
        <x:v>Необязательный третий день</x:v>
      </x:c>
      <x:c r="C20" s="13" t="n">
        <x:v>60</x:v>
      </x:c>
      <x:c r="D20" s="9" t="str">
        <x:v>15 мин разминка + 30–35 мин лёгкая техника + запись</x:v>
      </x:c>
      <x:c r="E20" s="9" t="str">
        <x:v>Только после 4–6 устойчивых недель и если следующий A/B не ухудшается. Никаких новых предельных висов / проектов.</x:v>
      </x:c>
    </x:row>
    <x:row r="21" ht="68.25" customHeight="1">
      <x:c r="A21" s="3" t="str">
        <x:v>F-ввод</x:v>
      </x:c>
      <x:c r="B21" s="3" t="str">
        <x:v>Знакомство с нагрузкой</x:v>
      </x:c>
      <x:c r="C21" s="14" t="n">
        <x:v>15</x:v>
      </x:c>
      <x:c r="D21" s="3" t="str">
        <x:v>1 раз/нед: 3 × 7 с; отдых 2–3 мин; усилие 5–6/10</x:v>
      </x:c>
      <x:c r="E21" s="3" t="str">
        <x:v>После допуска. Четыре пальца, полузакрытый хват, большой палец сверху не закрывает указательный. Планка примерно 20–25 мм или глубже; ноги разгружают, если нужно.</x:v>
      </x:c>
    </x:row>
    <x:row r="22" ht="68.25" customHeight="1">
      <x:c r="A22" s="9" t="str">
        <x:v>F-ввод</x:v>
      </x:c>
      <x:c r="B22" s="9" t="str">
        <x:v>Первый блок</x:v>
      </x:c>
      <x:c r="C22" s="13" t="n">
        <x:v>15</x:v>
      </x:c>
      <x:c r="D22" s="9" t="str">
        <x:v>Рабочие недели: 3 / 4 / 4 подхода; разгрузка: 2</x:v>
      </x:c>
      <x:c r="E22" s="9" t="str">
        <x:v>Увеличивать только при полном комфорте во время и после. Если не хватает 7 с — больше разгрузки / глубже планка.</x:v>
      </x:c>
    </x:row>
    <x:row r="23" ht="68.25" customHeight="1">
      <x:c r="A23" s="3" t="str">
        <x:v>F-сила</x:v>
      </x:c>
      <x:c r="B23" s="3" t="str">
        <x:v>Последующие блоки</x:v>
      </x:c>
      <x:c r="C23" s="14" t="n">
        <x:v>18</x:v>
      </x:c>
      <x:c r="D23" s="3" t="str">
        <x:v>4 × 10 с, отдых 3 мин, запас около 2–3 с</x:v>
      </x:c>
      <x:c r="E23" s="3" t="str">
        <x:v>Переход после освоения вводного блока. Усилие примерно 7–8/10. Без отказа, срыва с планки и одноручных максимумов.</x:v>
      </x:c>
    </x:row>
    <x:row r="24" ht="68.25" customHeight="1">
      <x:c r="A24" s="9" t="str">
        <x:v>F-сила</x:v>
      </x:c>
      <x:c r="B24" s="9" t="str">
        <x:v>Прогрессия</x:v>
      </x:c>
      <x:c r="C24" s="13" t="n">
        <x:v>0</x:v>
      </x:c>
      <x:c r="D24" s="9" t="str">
        <x:v>После 2 успешных занятий: +0,5–1 кг или меньше разгрузки</x:v>
      </x:c>
      <x:c r="E24" s="9" t="str">
        <x:v>Не уменьшать одновременно глубину планки. Если нагрузка не измеряется, фиксировать одинаковую опору ног и не называть результат процентом массы тела.</x:v>
      </x:c>
    </x:row>
    <x:row r="25" ht="68.25" customHeight="1">
      <x:c r="A25" s="3" t="str">
        <x:v>F-подд.</x:v>
      </x:c>
      <x:c r="B25" s="3" t="str">
        <x:v>Поддержание силы</x:v>
      </x:c>
      <x:c r="C25" s="14" t="n">
        <x:v>10</x:v>
      </x:c>
      <x:c r="D25" s="3" t="str">
        <x:v>2–3 виса раз в 7–10 дней</x:v>
      </x:c>
      <x:c r="E25" s="3" t="str">
        <x:v>В фазах MoonBoard и пролазов. Эти висы заменяют часть тяжёлых попыток, а не прибавляются к ним.</x:v>
      </x:c>
    </x:row>
    <x:row r="26" ht="68.25" customHeight="1">
      <x:c r="A26" s="9" t="str">
        <x:v>ОФП-A</x:v>
      </x:c>
      <x:c r="B26" s="9" t="str">
        <x:v>Сплит-присед</x:v>
      </x:c>
      <x:c r="C26" s="13" t="n">
        <x:v>5</x:v>
      </x:c>
      <x:c r="D26" s="9" t="str">
        <x:v>1–2 × 6–8 на ногу; запас 3 повтора</x:v>
      </x:c>
      <x:c r="E26" s="9" t="str">
        <x:v>Вес тела на старте. При добавлении веса не провоцировать кисть. Отдых 60–90 с.</x:v>
      </x:c>
    </x:row>
    <x:row r="27" ht="68.25" customHeight="1">
      <x:c r="A27" s="3" t="str">
        <x:v>ОФП-A</x:v>
      </x:c>
      <x:c r="B27" s="3" t="str">
        <x:v>Dead bug</x:v>
      </x:c>
      <x:c r="C27" s="14" t="n">
        <x:v>4</x:v>
      </x:c>
      <x:c r="D27" s="3" t="str">
        <x:v>1–2 × 6 на сторону</x:v>
      </x:c>
      <x:c r="E27" s="3" t="str">
        <x:v>Лёжа на спине, поочерёдно удлинять противоположные руку и ногу, сохраняя контроль таза и поясницы.</x:v>
      </x:c>
    </x:row>
    <x:row r="28" ht="68.25" customHeight="1">
      <x:c r="A28" s="9" t="str">
        <x:v>ОФП-B</x:v>
      </x:c>
      <x:c r="B28" s="9" t="str">
        <x:v>Тяга / подтягивания</x:v>
      </x:c>
      <x:c r="C28" s="13" t="n">
        <x:v>5</x:v>
      </x:c>
      <x:c r="D28" s="9" t="str">
        <x:v>1–2 × 4–8; запас 3 повтора</x:v>
      </x:c>
      <x:c r="E28" s="9" t="str">
        <x:v>Выбрать один вариант с безболезненным хватом. Не делать подход до отказа после лазания. Отдых 2 мин.</x:v>
      </x:c>
    </x:row>
    <x:row r="29" ht="68.25" customHeight="1">
      <x:c r="A29" s="3" t="str">
        <x:v>ОФП-B</x:v>
      </x:c>
      <x:c r="B29" s="3" t="str">
        <x:v>Боковая планка</x:v>
      </x:c>
      <x:c r="C29" s="14" t="n">
        <x:v>4</x:v>
      </x:c>
      <x:c r="D29" s="3" t="str">
        <x:v>1–2 × 20–30 с на сторону</x:v>
      </x:c>
      <x:c r="E29" s="3" t="str">
        <x:v>Опора на предплечье. При дискомфорте плеча заменить на dead bug.</x:v>
      </x:c>
    </x:row>
    <x:row r="30" ht="68.25" customHeight="1">
      <x:c r="A30" s="9" t="str">
        <x:v>ЛФК</x:v>
      </x:c>
      <x:c r="B30" s="9" t="str">
        <x:v>Плечо</x:v>
      </x:c>
      <x:c r="C30" s="13" t="n">
        <x:v>6</x:v>
      </x:c>
      <x:c r="D30" s="9" t="str">
        <x:v>Привычные 3 упражнения по 1 × 15</x:v>
      </x:c>
      <x:c r="E30" s="9" t="str">
        <x:v>Сохранить уже переносимую схему. Не наращивать одновременно с висами. Это поддерживающая работа, а не гарантия профилактики.</x:v>
      </x:c>
    </x:row>
    <x:row r="31" ht="68.25" customHeight="1">
      <x:c r="A31" s="3" t="str">
        <x:v>Дома</x:v>
      </x:c>
      <x:c r="B31" s="3" t="str">
        <x:v>Подвижность и контроль ног</x:v>
      </x:c>
      <x:c r="C31" s="14" t="n">
        <x:v>12</x:v>
      </x:c>
      <x:c r="D31" s="3" t="str">
        <x:v>2–3 раза/нед: 90/90, подъём ноги, мягкий присед</x:v>
      </x:c>
      <x:c r="E31" s="3" t="str">
        <x:v>90/90: 2 × 5 смен сторон; подъём ноги через невысокое препятствие: 2 × 6 на ногу; без болезненного упора. Резинка нужна прежде всего для привычной ЛФК.</x:v>
      </x:c>
    </x:row>
    <x:row r="32" ht="68.25" customHeight="1">
      <x:c r="A32" s="9" t="str">
        <x:v>Техника</x:v>
      </x:c>
      <x:c r="B32" s="9" t="str">
        <x:v>Тесный старт</x:v>
      </x:c>
      <x:c r="C32" s="13" t="n">
        <x:v>10</x:v>
      </x:c>
      <x:c r="D32" s="9" t="str">
        <x:v>2–3 низкие задачи; 3 варианта положения</x:v>
      </x:c>
      <x:c r="E32" s="9" t="str">
        <x:v>Менять одну переменную: разворот бедра, положение свободной ноги или направление таза. Искать опору и пространство для движения; не всегда прижимать таз максимально.</x:v>
      </x:c>
    </x:row>
    <x:row r="33" ht="68.25" customHeight="1">
      <x:c r="A33" s="3" t="str">
        <x:v>Техника</x:v>
      </x:c>
      <x:c r="B33" s="3" t="str">
        <x:v>Флаг / носок</x:v>
      </x:c>
      <x:c r="C33" s="14" t="n">
        <x:v>10</x:v>
      </x:c>
      <x:c r="D33" s="3" t="str">
        <x:v>2 последовательности × 2–3 повтора</x:v>
      </x:c>
      <x:c r="E33" s="3" t="str">
        <x:v>Флаг: свободной ногой управлять вращением. Носок: сначала низко и на больших зацепках, без болезненных нагрузок на руки.</x:v>
      </x:c>
    </x:row>
    <x:row r="34" ht="68.25" customHeight="1">
      <x:c r="A34" s="9" t="str">
        <x:v>Страх</x:v>
      </x:c>
      <x:c r="B34" s="9" t="str">
        <x:v>Низкая контролируемая практика</x:v>
      </x:c>
      <x:c r="C34" s="13" t="n">
        <x:v>8</x:v>
      </x:c>
      <x:c r="D34" s="9" t="str">
        <x:v>5–10 минут в свежем состоянии, 1 раз/нед</x:v>
      </x:c>
      <x:c r="E34" s="9" t="str">
        <x:v>Повторять уверенное движение и лишь затем немного менять высоту. Не практиковать прыжки с верхней части стены; технику падения лучше разово проверить с инструктором.</x:v>
      </x:c>
    </x:row>
    <x:row r="35" ht="68.25" customHeight="1">
      <x:c r="A35" s="3" t="str">
        <x:v>Выносл.</x:v>
      </x:c>
      <x:c r="B35" s="3" t="str">
        <x:v>Лёгкая локальная работа</x:v>
      </x:c>
      <x:c r="C35" s="14" t="n">
        <x:v>20</x:v>
      </x:c>
      <x:c r="D35" s="3" t="str">
        <x:v>3 × 3 мин простого траверса, отдых 3 мин</x:v>
      </x:c>
      <x:c r="E35" s="3" t="str">
        <x:v>Умеренное дыхание, лёгкое утомление предплечья 2–3/10, без отказа. Заменяет свободный блок B или часть C. Начинать при переносимости.</x:v>
      </x:c>
    </x:row>
    <x:row r="36" ht="68.25" customHeight="1">
      <x:c r="A36" s="9" t="str">
        <x:v>Связки</x:v>
      </x:c>
      <x:c r="B36" s="9" t="str">
        <x:v>С марта, по необходимости</x:v>
      </x:c>
      <x:c r="C36" s="13" t="n">
        <x:v>20</x:v>
      </x:c>
      <x:c r="D36" s="9" t="str">
        <x:v>3 пары знакомых трасс; отдых 3–4 мин между парами</x:v>
      </x:c>
      <x:c r="E36" s="9" t="str">
        <x:v>В каждой паре 2 боулдера подряд с коротким переходом по мату. Подобрать 6A–6B или легче. Все движения уверенные. Заменяет часть MoonBoard, не добавляется поверх.</x:v>
      </x:c>
    </x:row>
    <x:row r="37" ht="68.25" customHeight="1">
      <x:c r="A37" s="3" t="str">
        <x:v>Контроль</x:v>
      </x:c>
      <x:c r="B37" s="3" t="str">
        <x:v>Каждые 6–8 недель</x:v>
      </x:c>
      <x:c r="C37" s="14" t="n">
        <x:v>0</x:v>
      </x:c>
      <x:c r="D37" s="3" t="str">
        <x:v>Сравнить одинаковые висы, 3–5 benchmarks и проекты</x:v>
      </x:c>
      <x:c r="E37" s="3" t="str">
        <x:v>Не требуется максимум до отказа. Фиксировать планку, хват, вес/разгрузку, секунды и субъективное усилие; тесты заменяют часть тренировочного объёма.</x:v>
      </x:c>
    </x:row>
    <x:row r="38" ht="28" customHeight="1">
      <x:c r="A38" s="3"/>
      <x:c r="B38" s="3"/>
      <x:c r="C38" s="3"/>
      <x:c r="D38" s="3"/>
      <x:c r="E38" s="3"/>
    </x:row>
    <x:row r="39" ht="28" customHeight="1">
      <x:c r="A39" s="3"/>
      <x:c r="B39" s="3"/>
      <x:c r="C39" s="3"/>
      <x:c r="D39" s="3"/>
      <x:c r="E39" s="3"/>
    </x:row>
    <x:row r="40" ht="28" customHeight="1">
      <x:c r="A40" s="3"/>
      <x:c r="B40" s="3"/>
      <x:c r="C40" s="3"/>
      <x:c r="D40" s="3"/>
      <x:c r="E40" s="3"/>
    </x:row>
    <x:row r="41" ht="28" customHeight="1">
      <x:c r="A41" s="3"/>
      <x:c r="B41" s="3"/>
      <x:c r="C41" s="3"/>
      <x:c r="D41" s="3"/>
      <x:c r="E41" s="3"/>
    </x:row>
    <x:row r="42" ht="28" customHeight="1">
      <x:c r="A42" s="3"/>
      <x:c r="B42" s="3"/>
      <x:c r="C42" s="3"/>
      <x:c r="D42" s="3"/>
      <x:c r="E42" s="3"/>
    </x:row>
    <x:row r="43" ht="28" customHeight="1">
      <x:c r="A43" s="3"/>
      <x:c r="B43" s="3"/>
      <x:c r="C43" s="3"/>
      <x:c r="D43" s="3"/>
      <x:c r="E43" s="3"/>
    </x:row>
    <x:row r="44" ht="28" customHeight="1">
      <x:c r="A44" s="3"/>
      <x:c r="B44" s="3"/>
      <x:c r="C44" s="3"/>
      <x:c r="D44" s="3"/>
      <x:c r="E44" s="3"/>
    </x:row>
    <x:row r="45" ht="28" customHeight="1">
      <x:c r="A45" s="3"/>
      <x:c r="B45" s="3"/>
      <x:c r="C45" s="3"/>
      <x:c r="D45" s="3"/>
      <x:c r="E45" s="3"/>
    </x:row>
    <x:row r="46" ht="28" customHeight="1">
      <x:c r="A46" s="3"/>
      <x:c r="B46" s="3"/>
      <x:c r="C46" s="3"/>
      <x:c r="D46" s="3"/>
      <x:c r="E46" s="3"/>
    </x:row>
    <x:row r="47" ht="28" customHeight="1">
      <x:c r="A47" s="3"/>
      <x:c r="B47" s="3"/>
      <x:c r="C47" s="3"/>
      <x:c r="D47" s="3"/>
      <x:c r="E47" s="3"/>
    </x:row>
    <x:row r="48" ht="28" customHeight="1">
      <x:c r="A48" s="3"/>
      <x:c r="B48" s="3"/>
      <x:c r="C48" s="3"/>
      <x:c r="D48" s="3"/>
      <x:c r="E48" s="3"/>
    </x:row>
  </x:sheetData>
  <x:mergeCells>
    <x:mergeCell ref="A1:E1"/>
    <x:mergeCell ref="A3:E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1.670000076293945" hidden="0" customWidth="1"/>
    <x:col min="3" max="3" width="11.109999656677246" hidden="0" customWidth="1"/>
    <x:col min="4" max="4" width="11.109999656677246" hidden="0" customWidth="1"/>
    <x:col min="5" max="5" width="11.670000076293945" hidden="0" customWidth="1"/>
    <x:col min="6" max="6" width="10" hidden="0" customWidth="1"/>
    <x:col min="7" max="7" width="10.5600004196167" hidden="0" customWidth="1"/>
    <x:col min="8" max="8" width="12.220000267028809" hidden="0" customWidth="1"/>
    <x:col min="9" max="9" width="12.779999732971191" hidden="0" customWidth="1"/>
    <x:col min="10" max="10" width="12.779999732971191" hidden="0" customWidth="1"/>
    <x:col min="11" max="11" width="12.779999732971191" hidden="0" customWidth="1"/>
    <x:col min="12" max="12" width="37.779998779296875" hidden="0" customWidth="1"/>
  </x:cols>
  <x:sheetData>
    <x:row r="1" ht="33" customHeight="1">
      <x:c r="A1" s="5" t="str">
        <x:v>ДНЕВНИК · 2 МИНУТЫ ПОСЛЕ ЗАНЯТИЯ + УТРО</x:v>
      </x:c>
      <x:c r="B1" s="5" t="str">
        <x:v>ДНЕВНИК · 2 МИНУТЫ ПОСЛЕ ЗАНЯТИЯ + УТРО</x:v>
      </x:c>
      <x:c r="C1" s="5" t="str">
        <x:v>ДНЕВНИК · 2 МИНУТЫ ПОСЛЕ ЗАНЯТИЯ + УТРО</x:v>
      </x:c>
      <x:c r="D1" s="5" t="str">
        <x:v>ДНЕВНИК · 2 МИНУТЫ ПОСЛЕ ЗАНЯТИЯ + УТРО</x:v>
      </x:c>
      <x:c r="E1" s="5" t="str">
        <x:v>ДНЕВНИК · 2 МИНУТЫ ПОСЛЕ ЗАНЯТИЯ + УТРО</x:v>
      </x:c>
      <x:c r="F1" s="5" t="str">
        <x:v>ДНЕВНИК · 2 МИНУТЫ ПОСЛЕ ЗАНЯТИЯ + УТРО</x:v>
      </x:c>
      <x:c r="G1" s="5" t="str">
        <x:v>ДНЕВНИК · 2 МИНУТЫ ПОСЛЕ ЗАНЯТИЯ + УТРО</x:v>
      </x:c>
      <x:c r="H1" s="5" t="str">
        <x:v>ДНЕВНИК · 2 МИНУТЫ ПОСЛЕ ЗАНЯТИЯ + УТРО</x:v>
      </x:c>
      <x:c r="I1" s="5" t="str">
        <x:v>ДНЕВНИК · 2 МИНУТЫ ПОСЛЕ ЗАНЯТИЯ + УТРО</x:v>
      </x:c>
      <x:c r="J1" s="5" t="str">
        <x:v>ДНЕВНИК · 2 МИНУТЫ ПОСЛЕ ЗАНЯТИЯ + УТРО</x:v>
      </x:c>
      <x:c r="K1" s="5" t="str">
        <x:v>ДНЕВНИК · 2 МИНУТЫ ПОСЛЕ ЗАНЯТИЯ + УТРО</x:v>
      </x:c>
      <x:c r="L1" s="5" t="str">
        <x:v>ДНЕВНИК · 2 МИНУТЫ ПОСЛЕ ЗАНЯТИЯ + УТРО</x:v>
      </x:c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1" customHeight="1">
      <x:c r="A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B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C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D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E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F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G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H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I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J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K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L3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</x:row>
    <x:row r="4" ht="21" customHeight="1">
      <x:c r="A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B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C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D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E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F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G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H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I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J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K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  <x:c r="L4" s="9" t="str">
        <x:v>Жёлтые клетки заполняются вручную. Новые 7A — впервые пройденные трассы, повторы не считать. E — силовые попытки на стене / MoonBoard, F — висы отдельно. Боль: 0 означает отсутствие; пусто — не записано. Отдых можно записать с типом «Отдых» и 0 минут.</x:v>
      </x:c>
    </x:row>
    <x:row r="5" ht="33.75" customHeight="1">
      <x:c r="A5" s="8" t="str">
        <x:v>Дата</x:v>
      </x:c>
      <x:c r="B5" s="8" t="str">
        <x:v>Тип</x:v>
      </x:c>
      <x:c r="C5" s="8" t="str">
        <x:v>Минуты</x:v>
      </x:c>
      <x:c r="D5" s="8" t="str">
        <x:v>RPE занятия 0–10</x:v>
      </x:c>
      <x:c r="E5" s="8" t="str">
        <x:v>Тяжёлые попытки</x:v>
      </x:c>
      <x:c r="F5" s="8" t="str">
        <x:v>Висы</x:v>
      </x:c>
      <x:c r="G5" s="8" t="str">
        <x:v>Новые 7A</x:v>
      </x:c>
      <x:c r="H5" s="8" t="str">
        <x:v>Кисть во время 0–10</x:v>
      </x:c>
      <x:c r="I5" s="8" t="str">
        <x:v>Кисть утром 0–10</x:v>
      </x:c>
      <x:c r="J5" s="8" t="str">
        <x:v>Пальцы утром 0–10</x:v>
      </x:c>
      <x:c r="K5" s="8" t="str">
        <x:v>Разбитость утром 0–10</x:v>
      </x:c>
      <x:c r="L5" s="8" t="str">
        <x:v>Новый шаг / следующая гипотеза</x:v>
      </x:c>
    </x:row>
    <x:row r="6" ht="33" customHeight="1">
      <x:c r="A6" s="16"/>
      <x:c r="B6" s="15"/>
      <x:c r="C6" s="17"/>
      <x:c r="D6" s="17"/>
      <x:c r="E6" s="17"/>
      <x:c r="F6" s="17"/>
      <x:c r="G6" s="17"/>
      <x:c r="H6" s="17"/>
      <x:c r="I6" s="17"/>
      <x:c r="J6" s="17"/>
      <x:c r="K6" s="17"/>
      <x:c r="L6" s="15"/>
    </x:row>
    <x:row r="7" ht="33" customHeight="1">
      <x:c r="A7" s="16"/>
      <x:c r="B7" s="15"/>
      <x:c r="C7" s="17"/>
      <x:c r="D7" s="17"/>
      <x:c r="E7" s="17"/>
      <x:c r="F7" s="17"/>
      <x:c r="G7" s="17"/>
      <x:c r="H7" s="17"/>
      <x:c r="I7" s="17"/>
      <x:c r="J7" s="17"/>
      <x:c r="K7" s="17"/>
      <x:c r="L7" s="15"/>
    </x:row>
    <x:row r="8" ht="33" customHeight="1">
      <x:c r="A8" s="16"/>
      <x:c r="B8" s="15"/>
      <x:c r="C8" s="17"/>
      <x:c r="D8" s="17"/>
      <x:c r="E8" s="17"/>
      <x:c r="F8" s="17"/>
      <x:c r="G8" s="17"/>
      <x:c r="H8" s="17"/>
      <x:c r="I8" s="17"/>
      <x:c r="J8" s="17"/>
      <x:c r="K8" s="17"/>
      <x:c r="L8" s="15"/>
    </x:row>
    <x:row r="9" ht="33" customHeight="1">
      <x:c r="A9" s="16"/>
      <x:c r="B9" s="15"/>
      <x:c r="C9" s="17"/>
      <x:c r="D9" s="17"/>
      <x:c r="E9" s="17"/>
      <x:c r="F9" s="17"/>
      <x:c r="G9" s="17"/>
      <x:c r="H9" s="17"/>
      <x:c r="I9" s="17"/>
      <x:c r="J9" s="17"/>
      <x:c r="K9" s="17"/>
      <x:c r="L9" s="15"/>
    </x:row>
    <x:row r="10" ht="33" customHeight="1">
      <x:c r="A10" s="16"/>
      <x:c r="B10" s="15"/>
      <x:c r="C10" s="17"/>
      <x:c r="D10" s="17"/>
      <x:c r="E10" s="17"/>
      <x:c r="F10" s="17"/>
      <x:c r="G10" s="17"/>
      <x:c r="H10" s="17"/>
      <x:c r="I10" s="17"/>
      <x:c r="J10" s="17"/>
      <x:c r="K10" s="17"/>
      <x:c r="L10" s="15"/>
    </x:row>
    <x:row r="11" ht="33" customHeight="1">
      <x:c r="A11" s="16"/>
      <x:c r="B11" s="15"/>
      <x:c r="C11" s="17"/>
      <x:c r="D11" s="17"/>
      <x:c r="E11" s="17"/>
      <x:c r="F11" s="17"/>
      <x:c r="G11" s="17"/>
      <x:c r="H11" s="17"/>
      <x:c r="I11" s="17"/>
      <x:c r="J11" s="17"/>
      <x:c r="K11" s="17"/>
      <x:c r="L11" s="15"/>
    </x:row>
    <x:row r="12" ht="33" customHeight="1">
      <x:c r="A12" s="16"/>
      <x:c r="B12" s="15"/>
      <x:c r="C12" s="17"/>
      <x:c r="D12" s="17"/>
      <x:c r="E12" s="17"/>
      <x:c r="F12" s="17"/>
      <x:c r="G12" s="17"/>
      <x:c r="H12" s="17"/>
      <x:c r="I12" s="17"/>
      <x:c r="J12" s="17"/>
      <x:c r="K12" s="17"/>
      <x:c r="L12" s="15"/>
    </x:row>
    <x:row r="13" ht="33" customHeight="1">
      <x:c r="A13" s="16"/>
      <x:c r="B13" s="15"/>
      <x:c r="C13" s="17"/>
      <x:c r="D13" s="17"/>
      <x:c r="E13" s="17"/>
      <x:c r="F13" s="17"/>
      <x:c r="G13" s="17"/>
      <x:c r="H13" s="17"/>
      <x:c r="I13" s="17"/>
      <x:c r="J13" s="17"/>
      <x:c r="K13" s="17"/>
      <x:c r="L13" s="15"/>
    </x:row>
    <x:row r="14" ht="33" customHeight="1">
      <x:c r="A14" s="16"/>
      <x:c r="B14" s="15"/>
      <x:c r="C14" s="17"/>
      <x:c r="D14" s="17"/>
      <x:c r="E14" s="17"/>
      <x:c r="F14" s="17"/>
      <x:c r="G14" s="17"/>
      <x:c r="H14" s="17"/>
      <x:c r="I14" s="17"/>
      <x:c r="J14" s="17"/>
      <x:c r="K14" s="17"/>
      <x:c r="L14" s="15"/>
    </x:row>
    <x:row r="15" ht="33" customHeight="1">
      <x:c r="A15" s="16"/>
      <x:c r="B15" s="15"/>
      <x:c r="C15" s="17"/>
      <x:c r="D15" s="17"/>
      <x:c r="E15" s="17"/>
      <x:c r="F15" s="17"/>
      <x:c r="G15" s="17"/>
      <x:c r="H15" s="17"/>
      <x:c r="I15" s="17"/>
      <x:c r="J15" s="17"/>
      <x:c r="K15" s="17"/>
      <x:c r="L15" s="15"/>
    </x:row>
    <x:row r="16" ht="33" customHeight="1">
      <x:c r="A16" s="16"/>
      <x:c r="B16" s="15"/>
      <x:c r="C16" s="17"/>
      <x:c r="D16" s="17"/>
      <x:c r="E16" s="17"/>
      <x:c r="F16" s="17"/>
      <x:c r="G16" s="17"/>
      <x:c r="H16" s="17"/>
      <x:c r="I16" s="17"/>
      <x:c r="J16" s="17"/>
      <x:c r="K16" s="17"/>
      <x:c r="L16" s="15"/>
    </x:row>
    <x:row r="17" ht="33" customHeight="1">
      <x:c r="A17" s="16"/>
      <x:c r="B17" s="15"/>
      <x:c r="C17" s="17"/>
      <x:c r="D17" s="17"/>
      <x:c r="E17" s="17"/>
      <x:c r="F17" s="17"/>
      <x:c r="G17" s="17"/>
      <x:c r="H17" s="17"/>
      <x:c r="I17" s="17"/>
      <x:c r="J17" s="17"/>
      <x:c r="K17" s="17"/>
      <x:c r="L17" s="15"/>
    </x:row>
    <x:row r="18" ht="33" customHeight="1">
      <x:c r="A18" s="16"/>
      <x:c r="B18" s="15"/>
      <x:c r="C18" s="17"/>
      <x:c r="D18" s="17"/>
      <x:c r="E18" s="17"/>
      <x:c r="F18" s="17"/>
      <x:c r="G18" s="17"/>
      <x:c r="H18" s="17"/>
      <x:c r="I18" s="17"/>
      <x:c r="J18" s="17"/>
      <x:c r="K18" s="17"/>
      <x:c r="L18" s="15"/>
    </x:row>
    <x:row r="19" ht="33" customHeight="1">
      <x:c r="A19" s="16"/>
      <x:c r="B19" s="15"/>
      <x:c r="C19" s="17"/>
      <x:c r="D19" s="17"/>
      <x:c r="E19" s="17"/>
      <x:c r="F19" s="17"/>
      <x:c r="G19" s="17"/>
      <x:c r="H19" s="17"/>
      <x:c r="I19" s="17"/>
      <x:c r="J19" s="17"/>
      <x:c r="K19" s="17"/>
      <x:c r="L19" s="15"/>
    </x:row>
    <x:row r="20" ht="33" customHeight="1">
      <x:c r="A20" s="16"/>
      <x:c r="B20" s="15"/>
      <x:c r="C20" s="17"/>
      <x:c r="D20" s="17"/>
      <x:c r="E20" s="17"/>
      <x:c r="F20" s="17"/>
      <x:c r="G20" s="17"/>
      <x:c r="H20" s="17"/>
      <x:c r="I20" s="17"/>
      <x:c r="J20" s="17"/>
      <x:c r="K20" s="17"/>
      <x:c r="L20" s="15"/>
    </x:row>
    <x:row r="21" ht="33" customHeight="1">
      <x:c r="A21" s="16"/>
      <x:c r="B21" s="15"/>
      <x:c r="C21" s="17"/>
      <x:c r="D21" s="17"/>
      <x:c r="E21" s="17"/>
      <x:c r="F21" s="17"/>
      <x:c r="G21" s="17"/>
      <x:c r="H21" s="17"/>
      <x:c r="I21" s="17"/>
      <x:c r="J21" s="17"/>
      <x:c r="K21" s="17"/>
      <x:c r="L21" s="15"/>
    </x:row>
    <x:row r="22" ht="33" customHeight="1">
      <x:c r="A22" s="16"/>
      <x:c r="B22" s="15"/>
      <x:c r="C22" s="17"/>
      <x:c r="D22" s="17"/>
      <x:c r="E22" s="17"/>
      <x:c r="F22" s="17"/>
      <x:c r="G22" s="17"/>
      <x:c r="H22" s="17"/>
      <x:c r="I22" s="17"/>
      <x:c r="J22" s="17"/>
      <x:c r="K22" s="17"/>
      <x:c r="L22" s="15"/>
    </x:row>
    <x:row r="23" ht="33" customHeight="1">
      <x:c r="A23" s="16"/>
      <x:c r="B23" s="15"/>
      <x:c r="C23" s="17"/>
      <x:c r="D23" s="17"/>
      <x:c r="E23" s="17"/>
      <x:c r="F23" s="17"/>
      <x:c r="G23" s="17"/>
      <x:c r="H23" s="17"/>
      <x:c r="I23" s="17"/>
      <x:c r="J23" s="17"/>
      <x:c r="K23" s="17"/>
      <x:c r="L23" s="15"/>
    </x:row>
    <x:row r="24" ht="33" customHeight="1">
      <x:c r="A24" s="16"/>
      <x:c r="B24" s="15"/>
      <x:c r="C24" s="17"/>
      <x:c r="D24" s="17"/>
      <x:c r="E24" s="17"/>
      <x:c r="F24" s="17"/>
      <x:c r="G24" s="17"/>
      <x:c r="H24" s="17"/>
      <x:c r="I24" s="17"/>
      <x:c r="J24" s="17"/>
      <x:c r="K24" s="17"/>
      <x:c r="L24" s="15"/>
    </x:row>
    <x:row r="25" ht="33" customHeight="1">
      <x:c r="A25" s="16"/>
      <x:c r="B25" s="15"/>
      <x:c r="C25" s="17"/>
      <x:c r="D25" s="17"/>
      <x:c r="E25" s="17"/>
      <x:c r="F25" s="17"/>
      <x:c r="G25" s="17"/>
      <x:c r="H25" s="17"/>
      <x:c r="I25" s="17"/>
      <x:c r="J25" s="17"/>
      <x:c r="K25" s="17"/>
      <x:c r="L25" s="15"/>
    </x:row>
    <x:row r="26" ht="33" customHeight="1">
      <x:c r="A26" s="16"/>
      <x:c r="B26" s="15"/>
      <x:c r="C26" s="17"/>
      <x:c r="D26" s="17"/>
      <x:c r="E26" s="17"/>
      <x:c r="F26" s="17"/>
      <x:c r="G26" s="17"/>
      <x:c r="H26" s="17"/>
      <x:c r="I26" s="17"/>
      <x:c r="J26" s="17"/>
      <x:c r="K26" s="17"/>
      <x:c r="L26" s="15"/>
    </x:row>
    <x:row r="27" ht="33" customHeight="1">
      <x:c r="A27" s="16"/>
      <x:c r="B27" s="15"/>
      <x:c r="C27" s="17"/>
      <x:c r="D27" s="17"/>
      <x:c r="E27" s="17"/>
      <x:c r="F27" s="17"/>
      <x:c r="G27" s="17"/>
      <x:c r="H27" s="17"/>
      <x:c r="I27" s="17"/>
      <x:c r="J27" s="17"/>
      <x:c r="K27" s="17"/>
      <x:c r="L27" s="15"/>
    </x:row>
    <x:row r="28" ht="33" customHeight="1">
      <x:c r="A28" s="16"/>
      <x:c r="B28" s="15"/>
      <x:c r="C28" s="17"/>
      <x:c r="D28" s="17"/>
      <x:c r="E28" s="17"/>
      <x:c r="F28" s="17"/>
      <x:c r="G28" s="17"/>
      <x:c r="H28" s="17"/>
      <x:c r="I28" s="17"/>
      <x:c r="J28" s="17"/>
      <x:c r="K28" s="17"/>
      <x:c r="L28" s="15"/>
    </x:row>
    <x:row r="29" ht="33" customHeight="1">
      <x:c r="A29" s="16"/>
      <x:c r="B29" s="15"/>
      <x:c r="C29" s="17"/>
      <x:c r="D29" s="17"/>
      <x:c r="E29" s="17"/>
      <x:c r="F29" s="17"/>
      <x:c r="G29" s="17"/>
      <x:c r="H29" s="17"/>
      <x:c r="I29" s="17"/>
      <x:c r="J29" s="17"/>
      <x:c r="K29" s="17"/>
      <x:c r="L29" s="15"/>
    </x:row>
    <x:row r="30" ht="33" customHeight="1">
      <x:c r="A30" s="16"/>
      <x:c r="B30" s="15"/>
      <x:c r="C30" s="17"/>
      <x:c r="D30" s="17"/>
      <x:c r="E30" s="17"/>
      <x:c r="F30" s="17"/>
      <x:c r="G30" s="17"/>
      <x:c r="H30" s="17"/>
      <x:c r="I30" s="17"/>
      <x:c r="J30" s="17"/>
      <x:c r="K30" s="17"/>
      <x:c r="L30" s="15"/>
    </x:row>
    <x:row r="31" ht="33" customHeight="1">
      <x:c r="A31" s="16"/>
      <x:c r="B31" s="15"/>
      <x:c r="C31" s="17"/>
      <x:c r="D31" s="17"/>
      <x:c r="E31" s="17"/>
      <x:c r="F31" s="17"/>
      <x:c r="G31" s="17"/>
      <x:c r="H31" s="17"/>
      <x:c r="I31" s="17"/>
      <x:c r="J31" s="17"/>
      <x:c r="K31" s="17"/>
      <x:c r="L31" s="15"/>
    </x:row>
    <x:row r="32" ht="33" customHeight="1">
      <x:c r="A32" s="16"/>
      <x:c r="B32" s="15"/>
      <x:c r="C32" s="17"/>
      <x:c r="D32" s="17"/>
      <x:c r="E32" s="17"/>
      <x:c r="F32" s="17"/>
      <x:c r="G32" s="17"/>
      <x:c r="H32" s="17"/>
      <x:c r="I32" s="17"/>
      <x:c r="J32" s="17"/>
      <x:c r="K32" s="17"/>
      <x:c r="L32" s="15"/>
    </x:row>
    <x:row r="33" ht="33" customHeight="1">
      <x:c r="A33" s="16"/>
      <x:c r="B33" s="15"/>
      <x:c r="C33" s="17"/>
      <x:c r="D33" s="17"/>
      <x:c r="E33" s="17"/>
      <x:c r="F33" s="17"/>
      <x:c r="G33" s="17"/>
      <x:c r="H33" s="17"/>
      <x:c r="I33" s="17"/>
      <x:c r="J33" s="17"/>
      <x:c r="K33" s="17"/>
      <x:c r="L33" s="15"/>
    </x:row>
    <x:row r="34" ht="33" customHeight="1">
      <x:c r="A34" s="16"/>
      <x:c r="B34" s="15"/>
      <x:c r="C34" s="17"/>
      <x:c r="D34" s="17"/>
      <x:c r="E34" s="17"/>
      <x:c r="F34" s="17"/>
      <x:c r="G34" s="17"/>
      <x:c r="H34" s="17"/>
      <x:c r="I34" s="17"/>
      <x:c r="J34" s="17"/>
      <x:c r="K34" s="17"/>
      <x:c r="L34" s="15"/>
    </x:row>
    <x:row r="35" ht="33" customHeight="1">
      <x:c r="A35" s="16"/>
      <x:c r="B35" s="15"/>
      <x:c r="C35" s="17"/>
      <x:c r="D35" s="17"/>
      <x:c r="E35" s="17"/>
      <x:c r="F35" s="17"/>
      <x:c r="G35" s="17"/>
      <x:c r="H35" s="17"/>
      <x:c r="I35" s="17"/>
      <x:c r="J35" s="17"/>
      <x:c r="K35" s="17"/>
      <x:c r="L35" s="15"/>
    </x:row>
    <x:row r="36" ht="33" customHeight="1">
      <x:c r="A36" s="16"/>
      <x:c r="B36" s="15"/>
      <x:c r="C36" s="17"/>
      <x:c r="D36" s="17"/>
      <x:c r="E36" s="17"/>
      <x:c r="F36" s="17"/>
      <x:c r="G36" s="17"/>
      <x:c r="H36" s="17"/>
      <x:c r="I36" s="17"/>
      <x:c r="J36" s="17"/>
      <x:c r="K36" s="17"/>
      <x:c r="L36" s="15"/>
    </x:row>
    <x:row r="37" ht="33" customHeight="1">
      <x:c r="A37" s="16"/>
      <x:c r="B37" s="15"/>
      <x:c r="C37" s="17"/>
      <x:c r="D37" s="17"/>
      <x:c r="E37" s="17"/>
      <x:c r="F37" s="17"/>
      <x:c r="G37" s="17"/>
      <x:c r="H37" s="17"/>
      <x:c r="I37" s="17"/>
      <x:c r="J37" s="17"/>
      <x:c r="K37" s="17"/>
      <x:c r="L37" s="15"/>
    </x:row>
    <x:row r="38" ht="33" customHeight="1">
      <x:c r="A38" s="16"/>
      <x:c r="B38" s="15"/>
      <x:c r="C38" s="17"/>
      <x:c r="D38" s="17"/>
      <x:c r="E38" s="17"/>
      <x:c r="F38" s="17"/>
      <x:c r="G38" s="17"/>
      <x:c r="H38" s="17"/>
      <x:c r="I38" s="17"/>
      <x:c r="J38" s="17"/>
      <x:c r="K38" s="17"/>
      <x:c r="L38" s="15"/>
    </x:row>
    <x:row r="39" ht="33" customHeight="1">
      <x:c r="A39" s="16"/>
      <x:c r="B39" s="15"/>
      <x:c r="C39" s="17"/>
      <x:c r="D39" s="17"/>
      <x:c r="E39" s="17"/>
      <x:c r="F39" s="17"/>
      <x:c r="G39" s="17"/>
      <x:c r="H39" s="17"/>
      <x:c r="I39" s="17"/>
      <x:c r="J39" s="17"/>
      <x:c r="K39" s="17"/>
      <x:c r="L39" s="15"/>
    </x:row>
    <x:row r="40" ht="33" customHeight="1">
      <x:c r="A40" s="16"/>
      <x:c r="B40" s="15"/>
      <x:c r="C40" s="17"/>
      <x:c r="D40" s="17"/>
      <x:c r="E40" s="17"/>
      <x:c r="F40" s="17"/>
      <x:c r="G40" s="17"/>
      <x:c r="H40" s="17"/>
      <x:c r="I40" s="17"/>
      <x:c r="J40" s="17"/>
      <x:c r="K40" s="17"/>
      <x:c r="L40" s="15"/>
    </x:row>
    <x:row r="41" ht="33" customHeight="1">
      <x:c r="A41" s="16"/>
      <x:c r="B41" s="15"/>
      <x:c r="C41" s="17"/>
      <x:c r="D41" s="17"/>
      <x:c r="E41" s="17"/>
      <x:c r="F41" s="17"/>
      <x:c r="G41" s="17"/>
      <x:c r="H41" s="17"/>
      <x:c r="I41" s="17"/>
      <x:c r="J41" s="17"/>
      <x:c r="K41" s="17"/>
      <x:c r="L41" s="15"/>
    </x:row>
    <x:row r="42" ht="33" customHeight="1">
      <x:c r="A42" s="16"/>
      <x:c r="B42" s="15"/>
      <x:c r="C42" s="17"/>
      <x:c r="D42" s="17"/>
      <x:c r="E42" s="17"/>
      <x:c r="F42" s="17"/>
      <x:c r="G42" s="17"/>
      <x:c r="H42" s="17"/>
      <x:c r="I42" s="17"/>
      <x:c r="J42" s="17"/>
      <x:c r="K42" s="17"/>
      <x:c r="L42" s="15"/>
    </x:row>
    <x:row r="43" ht="33" customHeight="1">
      <x:c r="A43" s="16"/>
      <x:c r="B43" s="15"/>
      <x:c r="C43" s="17"/>
      <x:c r="D43" s="17"/>
      <x:c r="E43" s="17"/>
      <x:c r="F43" s="17"/>
      <x:c r="G43" s="17"/>
      <x:c r="H43" s="17"/>
      <x:c r="I43" s="17"/>
      <x:c r="J43" s="17"/>
      <x:c r="K43" s="17"/>
      <x:c r="L43" s="15"/>
    </x:row>
    <x:row r="44" ht="33" customHeight="1">
      <x:c r="A44" s="16"/>
      <x:c r="B44" s="15"/>
      <x:c r="C44" s="17"/>
      <x:c r="D44" s="17"/>
      <x:c r="E44" s="17"/>
      <x:c r="F44" s="17"/>
      <x:c r="G44" s="17"/>
      <x:c r="H44" s="17"/>
      <x:c r="I44" s="17"/>
      <x:c r="J44" s="17"/>
      <x:c r="K44" s="17"/>
      <x:c r="L44" s="15"/>
    </x:row>
    <x:row r="45" ht="33" customHeight="1">
      <x:c r="A45" s="16"/>
      <x:c r="B45" s="15"/>
      <x:c r="C45" s="17"/>
      <x:c r="D45" s="17"/>
      <x:c r="E45" s="17"/>
      <x:c r="F45" s="17"/>
      <x:c r="G45" s="17"/>
      <x:c r="H45" s="17"/>
      <x:c r="I45" s="17"/>
      <x:c r="J45" s="17"/>
      <x:c r="K45" s="17"/>
      <x:c r="L45" s="15"/>
    </x:row>
    <x:row r="46" ht="33" customHeight="1">
      <x:c r="A46" s="16"/>
      <x:c r="B46" s="15"/>
      <x:c r="C46" s="17"/>
      <x:c r="D46" s="17"/>
      <x:c r="E46" s="17"/>
      <x:c r="F46" s="17"/>
      <x:c r="G46" s="17"/>
      <x:c r="H46" s="17"/>
      <x:c r="I46" s="17"/>
      <x:c r="J46" s="17"/>
      <x:c r="K46" s="17"/>
      <x:c r="L46" s="15"/>
    </x:row>
    <x:row r="47" ht="33" customHeight="1">
      <x:c r="A47" s="16"/>
      <x:c r="B47" s="15"/>
      <x:c r="C47" s="17"/>
      <x:c r="D47" s="17"/>
      <x:c r="E47" s="17"/>
      <x:c r="F47" s="17"/>
      <x:c r="G47" s="17"/>
      <x:c r="H47" s="17"/>
      <x:c r="I47" s="17"/>
      <x:c r="J47" s="17"/>
      <x:c r="K47" s="17"/>
      <x:c r="L47" s="15"/>
    </x:row>
    <x:row r="48" ht="33" customHeight="1">
      <x:c r="A48" s="16"/>
      <x:c r="B48" s="15"/>
      <x:c r="C48" s="17"/>
      <x:c r="D48" s="17"/>
      <x:c r="E48" s="17"/>
      <x:c r="F48" s="17"/>
      <x:c r="G48" s="17"/>
      <x:c r="H48" s="17"/>
      <x:c r="I48" s="17"/>
      <x:c r="J48" s="17"/>
      <x:c r="K48" s="17"/>
      <x:c r="L48" s="15"/>
    </x:row>
    <x:row r="49" ht="33" customHeight="1">
      <x:c r="A49" s="16"/>
      <x:c r="B49" s="15"/>
      <x:c r="C49" s="17"/>
      <x:c r="D49" s="17"/>
      <x:c r="E49" s="17"/>
      <x:c r="F49" s="17"/>
      <x:c r="G49" s="17"/>
      <x:c r="H49" s="17"/>
      <x:c r="I49" s="17"/>
      <x:c r="J49" s="17"/>
      <x:c r="K49" s="17"/>
      <x:c r="L49" s="15"/>
    </x:row>
    <x:row r="50" ht="33" customHeight="1">
      <x:c r="A50" s="16"/>
      <x:c r="B50" s="15"/>
      <x:c r="C50" s="17"/>
      <x:c r="D50" s="17"/>
      <x:c r="E50" s="17"/>
      <x:c r="F50" s="17"/>
      <x:c r="G50" s="17"/>
      <x:c r="H50" s="17"/>
      <x:c r="I50" s="17"/>
      <x:c r="J50" s="17"/>
      <x:c r="K50" s="17"/>
      <x:c r="L50" s="15"/>
    </x:row>
    <x:row r="51" ht="33" customHeight="1">
      <x:c r="A51" s="16"/>
      <x:c r="B51" s="15"/>
      <x:c r="C51" s="17"/>
      <x:c r="D51" s="17"/>
      <x:c r="E51" s="17"/>
      <x:c r="F51" s="17"/>
      <x:c r="G51" s="17"/>
      <x:c r="H51" s="17"/>
      <x:c r="I51" s="17"/>
      <x:c r="J51" s="17"/>
      <x:c r="K51" s="17"/>
      <x:c r="L51" s="15"/>
    </x:row>
    <x:row r="52" ht="33" customHeight="1">
      <x:c r="A52" s="16"/>
      <x:c r="B52" s="15"/>
      <x:c r="C52" s="17"/>
      <x:c r="D52" s="17"/>
      <x:c r="E52" s="17"/>
      <x:c r="F52" s="17"/>
      <x:c r="G52" s="17"/>
      <x:c r="H52" s="17"/>
      <x:c r="I52" s="17"/>
      <x:c r="J52" s="17"/>
      <x:c r="K52" s="17"/>
      <x:c r="L52" s="15"/>
    </x:row>
    <x:row r="53" ht="33" customHeight="1">
      <x:c r="A53" s="16"/>
      <x:c r="B53" s="15"/>
      <x:c r="C53" s="17"/>
      <x:c r="D53" s="17"/>
      <x:c r="E53" s="17"/>
      <x:c r="F53" s="17"/>
      <x:c r="G53" s="17"/>
      <x:c r="H53" s="17"/>
      <x:c r="I53" s="17"/>
      <x:c r="J53" s="17"/>
      <x:c r="K53" s="17"/>
      <x:c r="L53" s="15"/>
    </x:row>
    <x:row r="54" ht="33" customHeight="1">
      <x:c r="A54" s="16"/>
      <x:c r="B54" s="15"/>
      <x:c r="C54" s="17"/>
      <x:c r="D54" s="17"/>
      <x:c r="E54" s="17"/>
      <x:c r="F54" s="17"/>
      <x:c r="G54" s="17"/>
      <x:c r="H54" s="17"/>
      <x:c r="I54" s="17"/>
      <x:c r="J54" s="17"/>
      <x:c r="K54" s="17"/>
      <x:c r="L54" s="15"/>
    </x:row>
    <x:row r="55" ht="33" customHeight="1">
      <x:c r="A55" s="16"/>
      <x:c r="B55" s="15"/>
      <x:c r="C55" s="17"/>
      <x:c r="D55" s="17"/>
      <x:c r="E55" s="17"/>
      <x:c r="F55" s="17"/>
      <x:c r="G55" s="17"/>
      <x:c r="H55" s="17"/>
      <x:c r="I55" s="17"/>
      <x:c r="J55" s="17"/>
      <x:c r="K55" s="17"/>
      <x:c r="L55" s="15"/>
    </x:row>
    <x:row r="56" ht="33" customHeight="1">
      <x:c r="A56" s="16"/>
      <x:c r="B56" s="15"/>
      <x:c r="C56" s="17"/>
      <x:c r="D56" s="17"/>
      <x:c r="E56" s="17"/>
      <x:c r="F56" s="17"/>
      <x:c r="G56" s="17"/>
      <x:c r="H56" s="17"/>
      <x:c r="I56" s="17"/>
      <x:c r="J56" s="17"/>
      <x:c r="K56" s="17"/>
      <x:c r="L56" s="15"/>
    </x:row>
    <x:row r="57" ht="33" customHeight="1">
      <x:c r="A57" s="16"/>
      <x:c r="B57" s="15"/>
      <x:c r="C57" s="17"/>
      <x:c r="D57" s="17"/>
      <x:c r="E57" s="17"/>
      <x:c r="F57" s="17"/>
      <x:c r="G57" s="17"/>
      <x:c r="H57" s="17"/>
      <x:c r="I57" s="17"/>
      <x:c r="J57" s="17"/>
      <x:c r="K57" s="17"/>
      <x:c r="L57" s="15"/>
    </x:row>
    <x:row r="58" ht="33" customHeight="1">
      <x:c r="A58" s="16"/>
      <x:c r="B58" s="15"/>
      <x:c r="C58" s="17"/>
      <x:c r="D58" s="17"/>
      <x:c r="E58" s="17"/>
      <x:c r="F58" s="17"/>
      <x:c r="G58" s="17"/>
      <x:c r="H58" s="17"/>
      <x:c r="I58" s="17"/>
      <x:c r="J58" s="17"/>
      <x:c r="K58" s="17"/>
      <x:c r="L58" s="15"/>
    </x:row>
    <x:row r="59" ht="33" customHeight="1">
      <x:c r="A59" s="16"/>
      <x:c r="B59" s="15"/>
      <x:c r="C59" s="17"/>
      <x:c r="D59" s="17"/>
      <x:c r="E59" s="17"/>
      <x:c r="F59" s="17"/>
      <x:c r="G59" s="17"/>
      <x:c r="H59" s="17"/>
      <x:c r="I59" s="17"/>
      <x:c r="J59" s="17"/>
      <x:c r="K59" s="17"/>
      <x:c r="L59" s="15"/>
    </x:row>
    <x:row r="60" ht="33" customHeight="1">
      <x:c r="A60" s="16"/>
      <x:c r="B60" s="15"/>
      <x:c r="C60" s="17"/>
      <x:c r="D60" s="17"/>
      <x:c r="E60" s="17"/>
      <x:c r="F60" s="17"/>
      <x:c r="G60" s="17"/>
      <x:c r="H60" s="17"/>
      <x:c r="I60" s="17"/>
      <x:c r="J60" s="17"/>
      <x:c r="K60" s="17"/>
      <x:c r="L60" s="15"/>
    </x:row>
    <x:row r="61" ht="33" customHeight="1">
      <x:c r="A61" s="16"/>
      <x:c r="B61" s="15"/>
      <x:c r="C61" s="17"/>
      <x:c r="D61" s="17"/>
      <x:c r="E61" s="17"/>
      <x:c r="F61" s="17"/>
      <x:c r="G61" s="17"/>
      <x:c r="H61" s="17"/>
      <x:c r="I61" s="17"/>
      <x:c r="J61" s="17"/>
      <x:c r="K61" s="17"/>
      <x:c r="L61" s="15"/>
    </x:row>
    <x:row r="62" ht="33" customHeight="1">
      <x:c r="A62" s="16"/>
      <x:c r="B62" s="15"/>
      <x:c r="C62" s="17"/>
      <x:c r="D62" s="17"/>
      <x:c r="E62" s="17"/>
      <x:c r="F62" s="17"/>
      <x:c r="G62" s="17"/>
      <x:c r="H62" s="17"/>
      <x:c r="I62" s="17"/>
      <x:c r="J62" s="17"/>
      <x:c r="K62" s="17"/>
      <x:c r="L62" s="15"/>
    </x:row>
    <x:row r="63" ht="33" customHeight="1">
      <x:c r="A63" s="16"/>
      <x:c r="B63" s="15"/>
      <x:c r="C63" s="17"/>
      <x:c r="D63" s="17"/>
      <x:c r="E63" s="17"/>
      <x:c r="F63" s="17"/>
      <x:c r="G63" s="17"/>
      <x:c r="H63" s="17"/>
      <x:c r="I63" s="17"/>
      <x:c r="J63" s="17"/>
      <x:c r="K63" s="17"/>
      <x:c r="L63" s="15"/>
    </x:row>
    <x:row r="64" ht="33" customHeight="1">
      <x:c r="A64" s="16"/>
      <x:c r="B64" s="15"/>
      <x:c r="C64" s="17"/>
      <x:c r="D64" s="17"/>
      <x:c r="E64" s="17"/>
      <x:c r="F64" s="17"/>
      <x:c r="G64" s="17"/>
      <x:c r="H64" s="17"/>
      <x:c r="I64" s="17"/>
      <x:c r="J64" s="17"/>
      <x:c r="K64" s="17"/>
      <x:c r="L64" s="15"/>
    </x:row>
    <x:row r="65" ht="33" customHeight="1">
      <x:c r="A65" s="16"/>
      <x:c r="B65" s="15"/>
      <x:c r="C65" s="17"/>
      <x:c r="D65" s="17"/>
      <x:c r="E65" s="17"/>
      <x:c r="F65" s="17"/>
      <x:c r="G65" s="17"/>
      <x:c r="H65" s="17"/>
      <x:c r="I65" s="17"/>
      <x:c r="J65" s="17"/>
      <x:c r="K65" s="17"/>
      <x:c r="L65" s="15"/>
    </x:row>
    <x:row r="66" ht="33" customHeight="1">
      <x:c r="A66" s="16"/>
      <x:c r="B66" s="15"/>
      <x:c r="C66" s="17"/>
      <x:c r="D66" s="17"/>
      <x:c r="E66" s="17"/>
      <x:c r="F66" s="17"/>
      <x:c r="G66" s="17"/>
      <x:c r="H66" s="17"/>
      <x:c r="I66" s="17"/>
      <x:c r="J66" s="17"/>
      <x:c r="K66" s="17"/>
      <x:c r="L66" s="15"/>
    </x:row>
    <x:row r="67" ht="33" customHeight="1">
      <x:c r="A67" s="16"/>
      <x:c r="B67" s="15"/>
      <x:c r="C67" s="17"/>
      <x:c r="D67" s="17"/>
      <x:c r="E67" s="17"/>
      <x:c r="F67" s="17"/>
      <x:c r="G67" s="17"/>
      <x:c r="H67" s="17"/>
      <x:c r="I67" s="17"/>
      <x:c r="J67" s="17"/>
      <x:c r="K67" s="17"/>
      <x:c r="L67" s="15"/>
    </x:row>
    <x:row r="68" ht="33" customHeight="1">
      <x:c r="A68" s="16"/>
      <x:c r="B68" s="15"/>
      <x:c r="C68" s="17"/>
      <x:c r="D68" s="17"/>
      <x:c r="E68" s="17"/>
      <x:c r="F68" s="17"/>
      <x:c r="G68" s="17"/>
      <x:c r="H68" s="17"/>
      <x:c r="I68" s="17"/>
      <x:c r="J68" s="17"/>
      <x:c r="K68" s="17"/>
      <x:c r="L68" s="15"/>
    </x:row>
    <x:row r="69" ht="33" customHeight="1">
      <x:c r="A69" s="16"/>
      <x:c r="B69" s="15"/>
      <x:c r="C69" s="17"/>
      <x:c r="D69" s="17"/>
      <x:c r="E69" s="17"/>
      <x:c r="F69" s="17"/>
      <x:c r="G69" s="17"/>
      <x:c r="H69" s="17"/>
      <x:c r="I69" s="17"/>
      <x:c r="J69" s="17"/>
      <x:c r="K69" s="17"/>
      <x:c r="L69" s="15"/>
    </x:row>
    <x:row r="70" ht="33" customHeight="1">
      <x:c r="A70" s="16"/>
      <x:c r="B70" s="15"/>
      <x:c r="C70" s="17"/>
      <x:c r="D70" s="17"/>
      <x:c r="E70" s="17"/>
      <x:c r="F70" s="17"/>
      <x:c r="G70" s="17"/>
      <x:c r="H70" s="17"/>
      <x:c r="I70" s="17"/>
      <x:c r="J70" s="17"/>
      <x:c r="K70" s="17"/>
      <x:c r="L70" s="15"/>
    </x:row>
    <x:row r="71" ht="33" customHeight="1">
      <x:c r="A71" s="16"/>
      <x:c r="B71" s="15"/>
      <x:c r="C71" s="17"/>
      <x:c r="D71" s="17"/>
      <x:c r="E71" s="17"/>
      <x:c r="F71" s="17"/>
      <x:c r="G71" s="17"/>
      <x:c r="H71" s="17"/>
      <x:c r="I71" s="17"/>
      <x:c r="J71" s="17"/>
      <x:c r="K71" s="17"/>
      <x:c r="L71" s="15"/>
    </x:row>
    <x:row r="72" ht="33" customHeight="1">
      <x:c r="A72" s="16"/>
      <x:c r="B72" s="15"/>
      <x:c r="C72" s="17"/>
      <x:c r="D72" s="17"/>
      <x:c r="E72" s="17"/>
      <x:c r="F72" s="17"/>
      <x:c r="G72" s="17"/>
      <x:c r="H72" s="17"/>
      <x:c r="I72" s="17"/>
      <x:c r="J72" s="17"/>
      <x:c r="K72" s="17"/>
      <x:c r="L72" s="15"/>
    </x:row>
    <x:row r="73" ht="33" customHeight="1">
      <x:c r="A73" s="16"/>
      <x:c r="B73" s="15"/>
      <x:c r="C73" s="17"/>
      <x:c r="D73" s="17"/>
      <x:c r="E73" s="17"/>
      <x:c r="F73" s="17"/>
      <x:c r="G73" s="17"/>
      <x:c r="H73" s="17"/>
      <x:c r="I73" s="17"/>
      <x:c r="J73" s="17"/>
      <x:c r="K73" s="17"/>
      <x:c r="L73" s="15"/>
    </x:row>
    <x:row r="74" ht="33" customHeight="1">
      <x:c r="A74" s="16"/>
      <x:c r="B74" s="15"/>
      <x:c r="C74" s="17"/>
      <x:c r="D74" s="17"/>
      <x:c r="E74" s="17"/>
      <x:c r="F74" s="17"/>
      <x:c r="G74" s="17"/>
      <x:c r="H74" s="17"/>
      <x:c r="I74" s="17"/>
      <x:c r="J74" s="17"/>
      <x:c r="K74" s="17"/>
      <x:c r="L74" s="15"/>
    </x:row>
    <x:row r="75" ht="33" customHeight="1">
      <x:c r="A75" s="16"/>
      <x:c r="B75" s="15"/>
      <x:c r="C75" s="17"/>
      <x:c r="D75" s="17"/>
      <x:c r="E75" s="17"/>
      <x:c r="F75" s="17"/>
      <x:c r="G75" s="17"/>
      <x:c r="H75" s="17"/>
      <x:c r="I75" s="17"/>
      <x:c r="J75" s="17"/>
      <x:c r="K75" s="17"/>
      <x:c r="L75" s="15"/>
    </x:row>
    <x:row r="76" ht="33" customHeight="1">
      <x:c r="A76" s="16"/>
      <x:c r="B76" s="15"/>
      <x:c r="C76" s="17"/>
      <x:c r="D76" s="17"/>
      <x:c r="E76" s="17"/>
      <x:c r="F76" s="17"/>
      <x:c r="G76" s="17"/>
      <x:c r="H76" s="17"/>
      <x:c r="I76" s="17"/>
      <x:c r="J76" s="17"/>
      <x:c r="K76" s="17"/>
      <x:c r="L76" s="15"/>
    </x:row>
    <x:row r="77" ht="33" customHeight="1">
      <x:c r="A77" s="16"/>
      <x:c r="B77" s="15"/>
      <x:c r="C77" s="17"/>
      <x:c r="D77" s="17"/>
      <x:c r="E77" s="17"/>
      <x:c r="F77" s="17"/>
      <x:c r="G77" s="17"/>
      <x:c r="H77" s="17"/>
      <x:c r="I77" s="17"/>
      <x:c r="J77" s="17"/>
      <x:c r="K77" s="17"/>
      <x:c r="L77" s="15"/>
    </x:row>
    <x:row r="78" ht="33" customHeight="1">
      <x:c r="A78" s="16"/>
      <x:c r="B78" s="15"/>
      <x:c r="C78" s="17"/>
      <x:c r="D78" s="17"/>
      <x:c r="E78" s="17"/>
      <x:c r="F78" s="17"/>
      <x:c r="G78" s="17"/>
      <x:c r="H78" s="17"/>
      <x:c r="I78" s="17"/>
      <x:c r="J78" s="17"/>
      <x:c r="K78" s="17"/>
      <x:c r="L78" s="15"/>
    </x:row>
    <x:row r="79" ht="33" customHeight="1">
      <x:c r="A79" s="16"/>
      <x:c r="B79" s="15"/>
      <x:c r="C79" s="17"/>
      <x:c r="D79" s="17"/>
      <x:c r="E79" s="17"/>
      <x:c r="F79" s="17"/>
      <x:c r="G79" s="17"/>
      <x:c r="H79" s="17"/>
      <x:c r="I79" s="17"/>
      <x:c r="J79" s="17"/>
      <x:c r="K79" s="17"/>
      <x:c r="L79" s="15"/>
    </x:row>
    <x:row r="80" ht="33" customHeight="1">
      <x:c r="A80" s="16"/>
      <x:c r="B80" s="15"/>
      <x:c r="C80" s="17"/>
      <x:c r="D80" s="17"/>
      <x:c r="E80" s="17"/>
      <x:c r="F80" s="17"/>
      <x:c r="G80" s="17"/>
      <x:c r="H80" s="17"/>
      <x:c r="I80" s="17"/>
      <x:c r="J80" s="17"/>
      <x:c r="K80" s="17"/>
      <x:c r="L80" s="15"/>
    </x:row>
    <x:row r="81" ht="33" customHeight="1">
      <x:c r="A81" s="16"/>
      <x:c r="B81" s="15"/>
      <x:c r="C81" s="17"/>
      <x:c r="D81" s="17"/>
      <x:c r="E81" s="17"/>
      <x:c r="F81" s="17"/>
      <x:c r="G81" s="17"/>
      <x:c r="H81" s="17"/>
      <x:c r="I81" s="17"/>
      <x:c r="J81" s="17"/>
      <x:c r="K81" s="17"/>
      <x:c r="L81" s="15"/>
    </x:row>
    <x:row r="82" ht="33" customHeight="1">
      <x:c r="A82" s="16"/>
      <x:c r="B82" s="15"/>
      <x:c r="C82" s="17"/>
      <x:c r="D82" s="17"/>
      <x:c r="E82" s="17"/>
      <x:c r="F82" s="17"/>
      <x:c r="G82" s="17"/>
      <x:c r="H82" s="17"/>
      <x:c r="I82" s="17"/>
      <x:c r="J82" s="17"/>
      <x:c r="K82" s="17"/>
      <x:c r="L82" s="15"/>
    </x:row>
    <x:row r="83" ht="33" customHeight="1">
      <x:c r="A83" s="16"/>
      <x:c r="B83" s="15"/>
      <x:c r="C83" s="17"/>
      <x:c r="D83" s="17"/>
      <x:c r="E83" s="17"/>
      <x:c r="F83" s="17"/>
      <x:c r="G83" s="17"/>
      <x:c r="H83" s="17"/>
      <x:c r="I83" s="17"/>
      <x:c r="J83" s="17"/>
      <x:c r="K83" s="17"/>
      <x:c r="L83" s="15"/>
    </x:row>
    <x:row r="84" ht="33" customHeight="1">
      <x:c r="A84" s="16"/>
      <x:c r="B84" s="15"/>
      <x:c r="C84" s="17"/>
      <x:c r="D84" s="17"/>
      <x:c r="E84" s="17"/>
      <x:c r="F84" s="17"/>
      <x:c r="G84" s="17"/>
      <x:c r="H84" s="17"/>
      <x:c r="I84" s="17"/>
      <x:c r="J84" s="17"/>
      <x:c r="K84" s="17"/>
      <x:c r="L84" s="15"/>
    </x:row>
    <x:row r="85" ht="33" customHeight="1">
      <x:c r="A85" s="16"/>
      <x:c r="B85" s="15"/>
      <x:c r="C85" s="17"/>
      <x:c r="D85" s="17"/>
      <x:c r="E85" s="17"/>
      <x:c r="F85" s="17"/>
      <x:c r="G85" s="17"/>
      <x:c r="H85" s="17"/>
      <x:c r="I85" s="17"/>
      <x:c r="J85" s="17"/>
      <x:c r="K85" s="17"/>
      <x:c r="L85" s="15"/>
    </x:row>
    <x:row r="86" ht="33" customHeight="1">
      <x:c r="A86" s="16"/>
      <x:c r="B86" s="15"/>
      <x:c r="C86" s="17"/>
      <x:c r="D86" s="17"/>
      <x:c r="E86" s="17"/>
      <x:c r="F86" s="17"/>
      <x:c r="G86" s="17"/>
      <x:c r="H86" s="17"/>
      <x:c r="I86" s="17"/>
      <x:c r="J86" s="17"/>
      <x:c r="K86" s="17"/>
      <x:c r="L86" s="15"/>
    </x:row>
    <x:row r="87" ht="33" customHeight="1">
      <x:c r="A87" s="16"/>
      <x:c r="B87" s="15"/>
      <x:c r="C87" s="17"/>
      <x:c r="D87" s="17"/>
      <x:c r="E87" s="17"/>
      <x:c r="F87" s="17"/>
      <x:c r="G87" s="17"/>
      <x:c r="H87" s="17"/>
      <x:c r="I87" s="17"/>
      <x:c r="J87" s="17"/>
      <x:c r="K87" s="17"/>
      <x:c r="L87" s="15"/>
    </x:row>
    <x:row r="88" ht="33" customHeight="1">
      <x:c r="A88" s="16"/>
      <x:c r="B88" s="15"/>
      <x:c r="C88" s="17"/>
      <x:c r="D88" s="17"/>
      <x:c r="E88" s="17"/>
      <x:c r="F88" s="17"/>
      <x:c r="G88" s="17"/>
      <x:c r="H88" s="17"/>
      <x:c r="I88" s="17"/>
      <x:c r="J88" s="17"/>
      <x:c r="K88" s="17"/>
      <x:c r="L88" s="15"/>
    </x:row>
    <x:row r="89" ht="33" customHeight="1">
      <x:c r="A89" s="16"/>
      <x:c r="B89" s="15"/>
      <x:c r="C89" s="17"/>
      <x:c r="D89" s="17"/>
      <x:c r="E89" s="17"/>
      <x:c r="F89" s="17"/>
      <x:c r="G89" s="17"/>
      <x:c r="H89" s="17"/>
      <x:c r="I89" s="17"/>
      <x:c r="J89" s="17"/>
      <x:c r="K89" s="17"/>
      <x:c r="L89" s="15"/>
    </x:row>
    <x:row r="90" ht="33" customHeight="1">
      <x:c r="A90" s="16"/>
      <x:c r="B90" s="15"/>
      <x:c r="C90" s="17"/>
      <x:c r="D90" s="17"/>
      <x:c r="E90" s="17"/>
      <x:c r="F90" s="17"/>
      <x:c r="G90" s="17"/>
      <x:c r="H90" s="17"/>
      <x:c r="I90" s="17"/>
      <x:c r="J90" s="17"/>
      <x:c r="K90" s="17"/>
      <x:c r="L90" s="15"/>
    </x:row>
    <x:row r="91" ht="33" customHeight="1">
      <x:c r="A91" s="16"/>
      <x:c r="B91" s="15"/>
      <x:c r="C91" s="17"/>
      <x:c r="D91" s="17"/>
      <x:c r="E91" s="17"/>
      <x:c r="F91" s="17"/>
      <x:c r="G91" s="17"/>
      <x:c r="H91" s="17"/>
      <x:c r="I91" s="17"/>
      <x:c r="J91" s="17"/>
      <x:c r="K91" s="17"/>
      <x:c r="L91" s="15"/>
    </x:row>
    <x:row r="92" ht="33" customHeight="1">
      <x:c r="A92" s="16"/>
      <x:c r="B92" s="15"/>
      <x:c r="C92" s="17"/>
      <x:c r="D92" s="17"/>
      <x:c r="E92" s="17"/>
      <x:c r="F92" s="17"/>
      <x:c r="G92" s="17"/>
      <x:c r="H92" s="17"/>
      <x:c r="I92" s="17"/>
      <x:c r="J92" s="17"/>
      <x:c r="K92" s="17"/>
      <x:c r="L92" s="15"/>
    </x:row>
    <x:row r="93" ht="33" customHeight="1">
      <x:c r="A93" s="16"/>
      <x:c r="B93" s="15"/>
      <x:c r="C93" s="17"/>
      <x:c r="D93" s="17"/>
      <x:c r="E93" s="17"/>
      <x:c r="F93" s="17"/>
      <x:c r="G93" s="17"/>
      <x:c r="H93" s="17"/>
      <x:c r="I93" s="17"/>
      <x:c r="J93" s="17"/>
      <x:c r="K93" s="17"/>
      <x:c r="L93" s="15"/>
    </x:row>
    <x:row r="94" ht="33" customHeight="1">
      <x:c r="A94" s="16"/>
      <x:c r="B94" s="15"/>
      <x:c r="C94" s="17"/>
      <x:c r="D94" s="17"/>
      <x:c r="E94" s="17"/>
      <x:c r="F94" s="17"/>
      <x:c r="G94" s="17"/>
      <x:c r="H94" s="17"/>
      <x:c r="I94" s="17"/>
      <x:c r="J94" s="17"/>
      <x:c r="K94" s="17"/>
      <x:c r="L94" s="15"/>
    </x:row>
    <x:row r="95" ht="33" customHeight="1">
      <x:c r="A95" s="16"/>
      <x:c r="B95" s="15"/>
      <x:c r="C95" s="17"/>
      <x:c r="D95" s="17"/>
      <x:c r="E95" s="17"/>
      <x:c r="F95" s="17"/>
      <x:c r="G95" s="17"/>
      <x:c r="H95" s="17"/>
      <x:c r="I95" s="17"/>
      <x:c r="J95" s="17"/>
      <x:c r="K95" s="17"/>
      <x:c r="L95" s="15"/>
    </x:row>
    <x:row r="96" ht="33" customHeight="1">
      <x:c r="A96" s="16"/>
      <x:c r="B96" s="15"/>
      <x:c r="C96" s="17"/>
      <x:c r="D96" s="17"/>
      <x:c r="E96" s="17"/>
      <x:c r="F96" s="17"/>
      <x:c r="G96" s="17"/>
      <x:c r="H96" s="17"/>
      <x:c r="I96" s="17"/>
      <x:c r="J96" s="17"/>
      <x:c r="K96" s="17"/>
      <x:c r="L96" s="15"/>
    </x:row>
    <x:row r="97" ht="33" customHeight="1">
      <x:c r="A97" s="16"/>
      <x:c r="B97" s="15"/>
      <x:c r="C97" s="17"/>
      <x:c r="D97" s="17"/>
      <x:c r="E97" s="17"/>
      <x:c r="F97" s="17"/>
      <x:c r="G97" s="17"/>
      <x:c r="H97" s="17"/>
      <x:c r="I97" s="17"/>
      <x:c r="J97" s="17"/>
      <x:c r="K97" s="17"/>
      <x:c r="L97" s="15"/>
    </x:row>
    <x:row r="98" ht="33" customHeight="1">
      <x:c r="A98" s="16"/>
      <x:c r="B98" s="15"/>
      <x:c r="C98" s="17"/>
      <x:c r="D98" s="17"/>
      <x:c r="E98" s="17"/>
      <x:c r="F98" s="17"/>
      <x:c r="G98" s="17"/>
      <x:c r="H98" s="17"/>
      <x:c r="I98" s="17"/>
      <x:c r="J98" s="17"/>
      <x:c r="K98" s="17"/>
      <x:c r="L98" s="15"/>
    </x:row>
    <x:row r="99" ht="33" customHeight="1">
      <x:c r="A99" s="16"/>
      <x:c r="B99" s="15"/>
      <x:c r="C99" s="17"/>
      <x:c r="D99" s="17"/>
      <x:c r="E99" s="17"/>
      <x:c r="F99" s="17"/>
      <x:c r="G99" s="17"/>
      <x:c r="H99" s="17"/>
      <x:c r="I99" s="17"/>
      <x:c r="J99" s="17"/>
      <x:c r="K99" s="17"/>
      <x:c r="L99" s="15"/>
    </x:row>
    <x:row r="100" ht="33" customHeight="1">
      <x:c r="A100" s="16"/>
      <x:c r="B100" s="15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5"/>
    </x:row>
    <x:row r="101" ht="33" customHeight="1">
      <x:c r="A101" s="16"/>
      <x:c r="B101" s="15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5"/>
    </x:row>
    <x:row r="102" ht="33" customHeight="1">
      <x:c r="A102" s="16"/>
      <x:c r="B102" s="15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5"/>
    </x:row>
    <x:row r="103" ht="33" customHeight="1">
      <x:c r="A103" s="16"/>
      <x:c r="B103" s="15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5"/>
    </x:row>
    <x:row r="104" ht="33" customHeight="1">
      <x:c r="A104" s="16"/>
      <x:c r="B104" s="15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5"/>
    </x:row>
    <x:row r="105" ht="33" customHeight="1">
      <x:c r="A105" s="16"/>
      <x:c r="B105" s="15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5"/>
    </x:row>
    <x:row r="106" ht="33" customHeight="1">
      <x:c r="A106" s="16"/>
      <x:c r="B106" s="15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5"/>
    </x:row>
    <x:row r="107" ht="33" customHeight="1">
      <x:c r="A107" s="16"/>
      <x:c r="B107" s="15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5"/>
    </x:row>
    <x:row r="108" ht="33" customHeight="1">
      <x:c r="A108" s="16"/>
      <x:c r="B108" s="15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5"/>
    </x:row>
    <x:row r="109" ht="33" customHeight="1">
      <x:c r="A109" s="16"/>
      <x:c r="B109" s="15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5"/>
    </x:row>
    <x:row r="110" ht="33" customHeight="1">
      <x:c r="A110" s="16"/>
      <x:c r="B110" s="15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5"/>
    </x:row>
    <x:row r="111" ht="33" customHeight="1">
      <x:c r="A111" s="16"/>
      <x:c r="B111" s="15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5"/>
    </x:row>
    <x:row r="112" ht="33" customHeight="1">
      <x:c r="A112" s="16"/>
      <x:c r="B112" s="15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5"/>
    </x:row>
    <x:row r="113" ht="33" customHeight="1">
      <x:c r="A113" s="16"/>
      <x:c r="B113" s="15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5"/>
    </x:row>
    <x:row r="114" ht="33" customHeight="1">
      <x:c r="A114" s="16"/>
      <x:c r="B114" s="15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5"/>
    </x:row>
    <x:row r="115" ht="33" customHeight="1">
      <x:c r="A115" s="16"/>
      <x:c r="B115" s="15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5"/>
    </x:row>
    <x:row r="116" ht="33" customHeight="1">
      <x:c r="A116" s="16"/>
      <x:c r="B116" s="15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5"/>
    </x:row>
    <x:row r="117" ht="33" customHeight="1">
      <x:c r="A117" s="16"/>
      <x:c r="B117" s="15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5"/>
    </x:row>
    <x:row r="118" ht="33" customHeight="1">
      <x:c r="A118" s="16"/>
      <x:c r="B118" s="15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5"/>
    </x:row>
    <x:row r="119" ht="33" customHeight="1">
      <x:c r="A119" s="16"/>
      <x:c r="B119" s="15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5"/>
    </x:row>
    <x:row r="120" ht="33" customHeight="1">
      <x:c r="A120" s="16"/>
      <x:c r="B120" s="15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5"/>
    </x:row>
    <x:row r="121" ht="33" customHeight="1">
      <x:c r="A121" s="16"/>
      <x:c r="B121" s="15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5"/>
    </x:row>
    <x:row r="122" ht="33" customHeight="1">
      <x:c r="A122" s="16"/>
      <x:c r="B122" s="15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5"/>
    </x:row>
    <x:row r="123" ht="33" customHeight="1">
      <x:c r="A123" s="16"/>
      <x:c r="B123" s="15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5"/>
    </x:row>
    <x:row r="124" ht="33" customHeight="1">
      <x:c r="A124" s="16"/>
      <x:c r="B124" s="15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5"/>
    </x:row>
    <x:row r="125" ht="33" customHeight="1">
      <x:c r="A125" s="16"/>
      <x:c r="B125" s="15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5"/>
    </x:row>
  </x:sheetData>
  <x:mergeCells>
    <x:mergeCell ref="A1:L1"/>
    <x:mergeCell ref="A3:L4"/>
  </x:mergeCells>
  <x:conditionalFormatting sqref="H6:J125">
    <x:cfRule type="cellIs" dxfId="1" priority="1" operator="greaterThan">
      <x:formula>0</x:formula>
    </x:cfRule>
  </x:conditionalFormatting>
  <x:dataValidations count="5">
    <x:dataValidation type="list" sqref="B6:B125">
      <x:formula1>"R,A,B,C,Скалы,Отдых"</x:formula1>
    </x:dataValidation>
    <x:dataValidation type="whole" operator="between" sqref="D6:D125">
      <x:formula1>0</x:formula1>
      <x:formula2>10</x:formula2>
    </x:dataValidation>
    <x:dataValidation type="whole" operator="between" sqref="H6:K125">
      <x:formula1>0</x:formula1>
      <x:formula2>10</x:formula2>
    </x:dataValidation>
    <x:dataValidation type="whole" operator="greaterThanOrEqual" sqref="C6:C125">
      <x:formula1>0</x:formula1>
    </x:dataValidation>
    <x:dataValidation type="whole" operator="greaterThanOrEqual" sqref="E6:G12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8961e1b1ad4d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.220000267028809" hidden="0" customWidth="1"/>
    <x:col min="3" max="3" width="11.109999656677246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3.329999923706055" hidden="0" customWidth="1"/>
    <x:col min="8" max="8" width="13.329999923706055" hidden="0" customWidth="1"/>
    <x:col min="9" max="9" width="15.5600004196167" hidden="0" customWidth="1"/>
  </x:cols>
  <x:sheetData>
    <x:row r="1" ht="33" customHeight="1">
      <x:c r="A1" s="5" t="str">
        <x:v>НЕДЕЛЬНЫЕ ИТОГИ · РАССЧИТЫВАЕТСЯ ИЗ ДНЕВНИКА</x:v>
      </x:c>
      <x:c r="B1" s="5" t="str">
        <x:v>НЕДЕЛЬНЫЕ ИТОГИ · РАССЧИТЫВАЕТСЯ ИЗ ДНЕВНИКА</x:v>
      </x:c>
      <x:c r="C1" s="5" t="str">
        <x:v>НЕДЕЛЬНЫЕ ИТОГИ · РАССЧИТЫВАЕТСЯ ИЗ ДНЕВНИКА</x:v>
      </x:c>
      <x:c r="D1" s="5" t="str">
        <x:v>НЕДЕЛЬНЫЕ ИТОГИ · РАССЧИТЫВАЕТСЯ ИЗ ДНЕВНИКА</x:v>
      </x:c>
      <x:c r="E1" s="5" t="str">
        <x:v>НЕДЕЛЬНЫЕ ИТОГИ · РАССЧИТЫВАЕТСЯ ИЗ ДНЕВНИКА</x:v>
      </x:c>
      <x:c r="F1" s="5" t="str">
        <x:v>НЕДЕЛЬНЫЕ ИТОГИ · РАССЧИТЫВАЕТСЯ ИЗ ДНЕВНИКА</x:v>
      </x:c>
      <x:c r="G1" s="5" t="str">
        <x:v>НЕДЕЛЬНЫЕ ИТОГИ · РАССЧИТЫВАЕТСЯ ИЗ ДНЕВНИКА</x:v>
      </x:c>
      <x:c r="H1" s="5" t="str">
        <x:v>НЕДЕЛЬНЫЕ ИТОГИ · РАССЧИТЫВАЕТСЯ ИЗ ДНЕВНИКА</x:v>
      </x:c>
      <x:c r="I1" s="5" t="str">
        <x:v>НЕДЕЛЬНЫЕ ИТОГИ · РАССЧИТЫВАЕТСЯ ИЗ ДНЕВНИКА</x:v>
      </x:c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1" customHeight="1">
      <x:c r="A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B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C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D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E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F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G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H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I3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</x:row>
    <x:row r="4" ht="21" customHeight="1">
      <x:c r="A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B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C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D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E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F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G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H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  <x:c r="I4" s="9" t="str">
        <x:v>Пустые строки означают отсутствие записанных тренировок. Висы и попытки показаны отдельно: это разные нагрузки. «Утро с болью» — число записей с болью в кисти или пальцах; это сигнал для пересмотра нагрузки, не диагноз.</x:v>
      </x:c>
    </x:row>
    <x:row r="5" ht="33.75" customHeight="1">
      <x:c r="A5" s="8" t="str">
        <x:v>Начало недели</x:v>
      </x:c>
      <x:c r="B5" s="8" t="str">
        <x:v>Тренировок</x:v>
      </x:c>
      <x:c r="C5" s="8" t="str">
        <x:v>Минут</x:v>
      </x:c>
      <x:c r="D5" s="8" t="str">
        <x:v>Попыток</x:v>
      </x:c>
      <x:c r="E5" s="8" t="str">
        <x:v>Висов</x:v>
      </x:c>
      <x:c r="F5" s="8" t="str">
        <x:v>Новых 7A</x:v>
      </x:c>
      <x:c r="G5" s="8" t="str">
        <x:v>Среднее RPE</x:v>
      </x:c>
      <x:c r="H5" s="8" t="str">
        <x:v>Утро с болью</x:v>
      </x:c>
      <x:c r="I5" s="8" t="str">
        <x:v>Конец недели</x:v>
      </x:c>
    </x:row>
    <x:row r="6" ht="28" customHeight="1">
      <x:c r="A6" s="11" t="n">
        <x:f>'Календарь'!A6</x:f>
        <x:v>46272</x:v>
      </x:c>
      <x:c r="B6" s="13" t="str">
        <x:f>IF(COUNTIFS('Дневник'!$A$6:$A$125,"&gt;="&amp;A6,'Дневник'!$A$6:$A$125,"&lt;="&amp;I6,'Дневник'!$C$6:$C$125,"&gt;0")=0,"",COUNTIFS('Дневник'!$A$6:$A$125,"&gt;="&amp;A6,'Дневник'!$A$6:$A$125,"&lt;="&amp;I6,'Дневник'!$C$6:$C$125,"&gt;0"))</x:f>
      </x:c>
      <x:c r="C6" s="13" t="str">
        <x:f>IF(B6="","",SUMIFS('Дневник'!$C$6:$C$125,'Дневник'!$A$6:$A$125,"&gt;="&amp;A6,'Дневник'!$A$6:$A$125,"&lt;="&amp;I6))</x:f>
      </x:c>
      <x:c r="D6" s="13" t="str">
        <x:f>IF(B6="","",SUMIFS('Дневник'!$E$6:$E$125,'Дневник'!$A$6:$A$125,"&gt;="&amp;A6,'Дневник'!$A$6:$A$125,"&lt;="&amp;I6))</x:f>
      </x:c>
      <x:c r="E6" s="13" t="str">
        <x:f>IF(B6="","",SUMIFS('Дневник'!$F$6:$F$125,'Дневник'!$A$6:$A$125,"&gt;="&amp;A6,'Дневник'!$A$6:$A$125,"&lt;="&amp;I6))</x:f>
      </x:c>
      <x:c r="F6" s="13" t="str">
        <x:f>IF(B6="","",SUMIFS('Дневник'!$G$6:$G$125,'Дневник'!$A$6:$A$125,"&gt;="&amp;A6,'Дневник'!$A$6:$A$125,"&lt;="&amp;I6))</x:f>
      </x:c>
      <x:c r="G6" s="18" t="str">
        <x:f>IF(B6="","",IFERROR(SUMIFS('Дневник'!$D$6:$D$125,'Дневник'!$A$6:$A$125,"&gt;="&amp;A6,'Дневник'!$A$6:$A$125,"&lt;="&amp;I6,'Дневник'!$C$6:$C$125,"&gt;0")/COUNTIFS('Дневник'!$A$6:$A$125,"&gt;="&amp;A6,'Дневник'!$A$6:$A$125,"&lt;="&amp;I6,'Дневник'!$C$6:$C$125,"&gt;0",'Дневник'!$D$6:$D$125,"&lt;&gt;"),""))</x:f>
      </x:c>
      <x:c r="H6" s="13" t="str">
        <x:f>IF(B6="","",COUNTIFS('Дневник'!$A$6:$A$125,"&gt;="&amp;A6,'Дневник'!$A$6:$A$125,"&lt;="&amp;I6,'Дневник'!$I$6:$I$125,"&gt;0")+COUNTIFS('Дневник'!$A$6:$A$125,"&gt;="&amp;A6,'Дневник'!$A$6:$A$125,"&lt;="&amp;I6,'Дневник'!$J$6:$J$125,"&gt;0")-COUNTIFS('Дневник'!$A$6:$A$125,"&gt;="&amp;A6,'Дневник'!$A$6:$A$125,"&lt;="&amp;I6,'Дневник'!$I$6:$I$125,"&gt;0",'Дневник'!$J$6:$J$125,"&gt;0"))</x:f>
      </x:c>
      <x:c r="I6" s="11" t="n">
        <x:f>'Календарь'!B6</x:f>
        <x:v>46278</x:v>
      </x:c>
    </x:row>
    <x:row r="7" ht="28" customHeight="1">
      <x:c r="A7" s="12" t="n">
        <x:f>'Календарь'!A7</x:f>
        <x:v>46279</x:v>
      </x:c>
      <x:c r="B7" s="14" t="str">
        <x:f>IF(COUNTIFS('Дневник'!$A$6:$A$125,"&gt;="&amp;A7,'Дневник'!$A$6:$A$125,"&lt;="&amp;I7,'Дневник'!$C$6:$C$125,"&gt;0")=0,"",COUNTIFS('Дневник'!$A$6:$A$125,"&gt;="&amp;A7,'Дневник'!$A$6:$A$125,"&lt;="&amp;I7,'Дневник'!$C$6:$C$125,"&gt;0"))</x:f>
      </x:c>
      <x:c r="C7" s="14" t="str">
        <x:f>IF(B7="","",SUMIFS('Дневник'!$C$6:$C$125,'Дневник'!$A$6:$A$125,"&gt;="&amp;A7,'Дневник'!$A$6:$A$125,"&lt;="&amp;I7))</x:f>
      </x:c>
      <x:c r="D7" s="14" t="str">
        <x:f>IF(B7="","",SUMIFS('Дневник'!$E$6:$E$125,'Дневник'!$A$6:$A$125,"&gt;="&amp;A7,'Дневник'!$A$6:$A$125,"&lt;="&amp;I7))</x:f>
      </x:c>
      <x:c r="E7" s="14" t="str">
        <x:f>IF(B7="","",SUMIFS('Дневник'!$F$6:$F$125,'Дневник'!$A$6:$A$125,"&gt;="&amp;A7,'Дневник'!$A$6:$A$125,"&lt;="&amp;I7))</x:f>
      </x:c>
      <x:c r="F7" s="14" t="str">
        <x:f>IF(B7="","",SUMIFS('Дневник'!$G$6:$G$125,'Дневник'!$A$6:$A$125,"&gt;="&amp;A7,'Дневник'!$A$6:$A$125,"&lt;="&amp;I7))</x:f>
      </x:c>
      <x:c r="G7" s="19" t="str">
        <x:f>IF(B7="","",IFERROR(SUMIFS('Дневник'!$D$6:$D$125,'Дневник'!$A$6:$A$125,"&gt;="&amp;A7,'Дневник'!$A$6:$A$125,"&lt;="&amp;I7,'Дневник'!$C$6:$C$125,"&gt;0")/COUNTIFS('Дневник'!$A$6:$A$125,"&gt;="&amp;A7,'Дневник'!$A$6:$A$125,"&lt;="&amp;I7,'Дневник'!$C$6:$C$125,"&gt;0",'Дневник'!$D$6:$D$125,"&lt;&gt;"),""))</x:f>
      </x:c>
      <x:c r="H7" s="14" t="str">
        <x:f>IF(B7="","",COUNTIFS('Дневник'!$A$6:$A$125,"&gt;="&amp;A7,'Дневник'!$A$6:$A$125,"&lt;="&amp;I7,'Дневник'!$I$6:$I$125,"&gt;0")+COUNTIFS('Дневник'!$A$6:$A$125,"&gt;="&amp;A7,'Дневник'!$A$6:$A$125,"&lt;="&amp;I7,'Дневник'!$J$6:$J$125,"&gt;0")-COUNTIFS('Дневник'!$A$6:$A$125,"&gt;="&amp;A7,'Дневник'!$A$6:$A$125,"&lt;="&amp;I7,'Дневник'!$I$6:$I$125,"&gt;0",'Дневник'!$J$6:$J$125,"&gt;0"))</x:f>
      </x:c>
      <x:c r="I7" s="12" t="n">
        <x:f>'Календарь'!B7</x:f>
        <x:v>46285</x:v>
      </x:c>
    </x:row>
    <x:row r="8" ht="28" customHeight="1">
      <x:c r="A8" s="11" t="n">
        <x:f>'Календарь'!A8</x:f>
        <x:v>46286</x:v>
      </x:c>
      <x:c r="B8" s="13" t="str">
        <x:f>IF(COUNTIFS('Дневник'!$A$6:$A$125,"&gt;="&amp;A8,'Дневник'!$A$6:$A$125,"&lt;="&amp;I8,'Дневник'!$C$6:$C$125,"&gt;0")=0,"",COUNTIFS('Дневник'!$A$6:$A$125,"&gt;="&amp;A8,'Дневник'!$A$6:$A$125,"&lt;="&amp;I8,'Дневник'!$C$6:$C$125,"&gt;0"))</x:f>
      </x:c>
      <x:c r="C8" s="13" t="str">
        <x:f>IF(B8="","",SUMIFS('Дневник'!$C$6:$C$125,'Дневник'!$A$6:$A$125,"&gt;="&amp;A8,'Дневник'!$A$6:$A$125,"&lt;="&amp;I8))</x:f>
      </x:c>
      <x:c r="D8" s="13" t="str">
        <x:f>IF(B8="","",SUMIFS('Дневник'!$E$6:$E$125,'Дневник'!$A$6:$A$125,"&gt;="&amp;A8,'Дневник'!$A$6:$A$125,"&lt;="&amp;I8))</x:f>
      </x:c>
      <x:c r="E8" s="13" t="str">
        <x:f>IF(B8="","",SUMIFS('Дневник'!$F$6:$F$125,'Дневник'!$A$6:$A$125,"&gt;="&amp;A8,'Дневник'!$A$6:$A$125,"&lt;="&amp;I8))</x:f>
      </x:c>
      <x:c r="F8" s="13" t="str">
        <x:f>IF(B8="","",SUMIFS('Дневник'!$G$6:$G$125,'Дневник'!$A$6:$A$125,"&gt;="&amp;A8,'Дневник'!$A$6:$A$125,"&lt;="&amp;I8))</x:f>
      </x:c>
      <x:c r="G8" s="18" t="str">
        <x:f>IF(B8="","",IFERROR(SUMIFS('Дневник'!$D$6:$D$125,'Дневник'!$A$6:$A$125,"&gt;="&amp;A8,'Дневник'!$A$6:$A$125,"&lt;="&amp;I8,'Дневник'!$C$6:$C$125,"&gt;0")/COUNTIFS('Дневник'!$A$6:$A$125,"&gt;="&amp;A8,'Дневник'!$A$6:$A$125,"&lt;="&amp;I8,'Дневник'!$C$6:$C$125,"&gt;0",'Дневник'!$D$6:$D$125,"&lt;&gt;"),""))</x:f>
      </x:c>
      <x:c r="H8" s="13" t="str">
        <x:f>IF(B8="","",COUNTIFS('Дневник'!$A$6:$A$125,"&gt;="&amp;A8,'Дневник'!$A$6:$A$125,"&lt;="&amp;I8,'Дневник'!$I$6:$I$125,"&gt;0")+COUNTIFS('Дневник'!$A$6:$A$125,"&gt;="&amp;A8,'Дневник'!$A$6:$A$125,"&lt;="&amp;I8,'Дневник'!$J$6:$J$125,"&gt;0")-COUNTIFS('Дневник'!$A$6:$A$125,"&gt;="&amp;A8,'Дневник'!$A$6:$A$125,"&lt;="&amp;I8,'Дневник'!$I$6:$I$125,"&gt;0",'Дневник'!$J$6:$J$125,"&gt;0"))</x:f>
      </x:c>
      <x:c r="I8" s="11" t="n">
        <x:f>'Календарь'!B8</x:f>
        <x:v>46292</x:v>
      </x:c>
    </x:row>
    <x:row r="9" ht="28" customHeight="1">
      <x:c r="A9" s="12" t="n">
        <x:f>'Календарь'!A9</x:f>
        <x:v>46293</x:v>
      </x:c>
      <x:c r="B9" s="14" t="str">
        <x:f>IF(COUNTIFS('Дневник'!$A$6:$A$125,"&gt;="&amp;A9,'Дневник'!$A$6:$A$125,"&lt;="&amp;I9,'Дневник'!$C$6:$C$125,"&gt;0")=0,"",COUNTIFS('Дневник'!$A$6:$A$125,"&gt;="&amp;A9,'Дневник'!$A$6:$A$125,"&lt;="&amp;I9,'Дневник'!$C$6:$C$125,"&gt;0"))</x:f>
      </x:c>
      <x:c r="C9" s="14" t="str">
        <x:f>IF(B9="","",SUMIFS('Дневник'!$C$6:$C$125,'Дневник'!$A$6:$A$125,"&gt;="&amp;A9,'Дневник'!$A$6:$A$125,"&lt;="&amp;I9))</x:f>
      </x:c>
      <x:c r="D9" s="14" t="str">
        <x:f>IF(B9="","",SUMIFS('Дневник'!$E$6:$E$125,'Дневник'!$A$6:$A$125,"&gt;="&amp;A9,'Дневник'!$A$6:$A$125,"&lt;="&amp;I9))</x:f>
      </x:c>
      <x:c r="E9" s="14" t="str">
        <x:f>IF(B9="","",SUMIFS('Дневник'!$F$6:$F$125,'Дневник'!$A$6:$A$125,"&gt;="&amp;A9,'Дневник'!$A$6:$A$125,"&lt;="&amp;I9))</x:f>
      </x:c>
      <x:c r="F9" s="14" t="str">
        <x:f>IF(B9="","",SUMIFS('Дневник'!$G$6:$G$125,'Дневник'!$A$6:$A$125,"&gt;="&amp;A9,'Дневник'!$A$6:$A$125,"&lt;="&amp;I9))</x:f>
      </x:c>
      <x:c r="G9" s="19" t="str">
        <x:f>IF(B9="","",IFERROR(SUMIFS('Дневник'!$D$6:$D$125,'Дневник'!$A$6:$A$125,"&gt;="&amp;A9,'Дневник'!$A$6:$A$125,"&lt;="&amp;I9,'Дневник'!$C$6:$C$125,"&gt;0")/COUNTIFS('Дневник'!$A$6:$A$125,"&gt;="&amp;A9,'Дневник'!$A$6:$A$125,"&lt;="&amp;I9,'Дневник'!$C$6:$C$125,"&gt;0",'Дневник'!$D$6:$D$125,"&lt;&gt;"),""))</x:f>
      </x:c>
      <x:c r="H9" s="14" t="str">
        <x:f>IF(B9="","",COUNTIFS('Дневник'!$A$6:$A$125,"&gt;="&amp;A9,'Дневник'!$A$6:$A$125,"&lt;="&amp;I9,'Дневник'!$I$6:$I$125,"&gt;0")+COUNTIFS('Дневник'!$A$6:$A$125,"&gt;="&amp;A9,'Дневник'!$A$6:$A$125,"&lt;="&amp;I9,'Дневник'!$J$6:$J$125,"&gt;0")-COUNTIFS('Дневник'!$A$6:$A$125,"&gt;="&amp;A9,'Дневник'!$A$6:$A$125,"&lt;="&amp;I9,'Дневник'!$I$6:$I$125,"&gt;0",'Дневник'!$J$6:$J$125,"&gt;0"))</x:f>
      </x:c>
      <x:c r="I9" s="12" t="n">
        <x:f>'Календарь'!B9</x:f>
        <x:v>46299</x:v>
      </x:c>
    </x:row>
    <x:row r="10" ht="28" customHeight="1">
      <x:c r="A10" s="11" t="n">
        <x:f>'Календарь'!A10</x:f>
        <x:v>46300</x:v>
      </x:c>
      <x:c r="B10" s="13" t="str">
        <x:f>IF(COUNTIFS('Дневник'!$A$6:$A$125,"&gt;="&amp;A10,'Дневник'!$A$6:$A$125,"&lt;="&amp;I10,'Дневник'!$C$6:$C$125,"&gt;0")=0,"",COUNTIFS('Дневник'!$A$6:$A$125,"&gt;="&amp;A10,'Дневник'!$A$6:$A$125,"&lt;="&amp;I10,'Дневник'!$C$6:$C$125,"&gt;0"))</x:f>
      </x:c>
      <x:c r="C10" s="13" t="str">
        <x:f>IF(B10="","",SUMIFS('Дневник'!$C$6:$C$125,'Дневник'!$A$6:$A$125,"&gt;="&amp;A10,'Дневник'!$A$6:$A$125,"&lt;="&amp;I10))</x:f>
      </x:c>
      <x:c r="D10" s="13" t="str">
        <x:f>IF(B10="","",SUMIFS('Дневник'!$E$6:$E$125,'Дневник'!$A$6:$A$125,"&gt;="&amp;A10,'Дневник'!$A$6:$A$125,"&lt;="&amp;I10))</x:f>
      </x:c>
      <x:c r="E10" s="13" t="str">
        <x:f>IF(B10="","",SUMIFS('Дневник'!$F$6:$F$125,'Дневник'!$A$6:$A$125,"&gt;="&amp;A10,'Дневник'!$A$6:$A$125,"&lt;="&amp;I10))</x:f>
      </x:c>
      <x:c r="F10" s="13" t="str">
        <x:f>IF(B10="","",SUMIFS('Дневник'!$G$6:$G$125,'Дневник'!$A$6:$A$125,"&gt;="&amp;A10,'Дневник'!$A$6:$A$125,"&lt;="&amp;I10))</x:f>
      </x:c>
      <x:c r="G10" s="18" t="str">
        <x:f>IF(B10="","",IFERROR(SUMIFS('Дневник'!$D$6:$D$125,'Дневник'!$A$6:$A$125,"&gt;="&amp;A10,'Дневник'!$A$6:$A$125,"&lt;="&amp;I10,'Дневник'!$C$6:$C$125,"&gt;0")/COUNTIFS('Дневник'!$A$6:$A$125,"&gt;="&amp;A10,'Дневник'!$A$6:$A$125,"&lt;="&amp;I10,'Дневник'!$C$6:$C$125,"&gt;0",'Дневник'!$D$6:$D$125,"&lt;&gt;"),""))</x:f>
      </x:c>
      <x:c r="H10" s="13" t="str">
        <x:f>IF(B10="","",COUNTIFS('Дневник'!$A$6:$A$125,"&gt;="&amp;A10,'Дневник'!$A$6:$A$125,"&lt;="&amp;I10,'Дневник'!$I$6:$I$125,"&gt;0")+COUNTIFS('Дневник'!$A$6:$A$125,"&gt;="&amp;A10,'Дневник'!$A$6:$A$125,"&lt;="&amp;I10,'Дневник'!$J$6:$J$125,"&gt;0")-COUNTIFS('Дневник'!$A$6:$A$125,"&gt;="&amp;A10,'Дневник'!$A$6:$A$125,"&lt;="&amp;I10,'Дневник'!$I$6:$I$125,"&gt;0",'Дневник'!$J$6:$J$125,"&gt;0"))</x:f>
      </x:c>
      <x:c r="I10" s="11" t="n">
        <x:f>'Календарь'!B10</x:f>
        <x:v>46306</x:v>
      </x:c>
    </x:row>
    <x:row r="11" ht="28" customHeight="1">
      <x:c r="A11" s="12" t="n">
        <x:f>'Календарь'!A11</x:f>
        <x:v>46307</x:v>
      </x:c>
      <x:c r="B11" s="14" t="str">
        <x:f>IF(COUNTIFS('Дневник'!$A$6:$A$125,"&gt;="&amp;A11,'Дневник'!$A$6:$A$125,"&lt;="&amp;I11,'Дневник'!$C$6:$C$125,"&gt;0")=0,"",COUNTIFS('Дневник'!$A$6:$A$125,"&gt;="&amp;A11,'Дневник'!$A$6:$A$125,"&lt;="&amp;I11,'Дневник'!$C$6:$C$125,"&gt;0"))</x:f>
      </x:c>
      <x:c r="C11" s="14" t="str">
        <x:f>IF(B11="","",SUMIFS('Дневник'!$C$6:$C$125,'Дневник'!$A$6:$A$125,"&gt;="&amp;A11,'Дневник'!$A$6:$A$125,"&lt;="&amp;I11))</x:f>
      </x:c>
      <x:c r="D11" s="14" t="str">
        <x:f>IF(B11="","",SUMIFS('Дневник'!$E$6:$E$125,'Дневник'!$A$6:$A$125,"&gt;="&amp;A11,'Дневник'!$A$6:$A$125,"&lt;="&amp;I11))</x:f>
      </x:c>
      <x:c r="E11" s="14" t="str">
        <x:f>IF(B11="","",SUMIFS('Дневник'!$F$6:$F$125,'Дневник'!$A$6:$A$125,"&gt;="&amp;A11,'Дневник'!$A$6:$A$125,"&lt;="&amp;I11))</x:f>
      </x:c>
      <x:c r="F11" s="14" t="str">
        <x:f>IF(B11="","",SUMIFS('Дневник'!$G$6:$G$125,'Дневник'!$A$6:$A$125,"&gt;="&amp;A11,'Дневник'!$A$6:$A$125,"&lt;="&amp;I11))</x:f>
      </x:c>
      <x:c r="G11" s="19" t="str">
        <x:f>IF(B11="","",IFERROR(SUMIFS('Дневник'!$D$6:$D$125,'Дневник'!$A$6:$A$125,"&gt;="&amp;A11,'Дневник'!$A$6:$A$125,"&lt;="&amp;I11,'Дневник'!$C$6:$C$125,"&gt;0")/COUNTIFS('Дневник'!$A$6:$A$125,"&gt;="&amp;A11,'Дневник'!$A$6:$A$125,"&lt;="&amp;I11,'Дневник'!$C$6:$C$125,"&gt;0",'Дневник'!$D$6:$D$125,"&lt;&gt;"),""))</x:f>
      </x:c>
      <x:c r="H11" s="14" t="str">
        <x:f>IF(B11="","",COUNTIFS('Дневник'!$A$6:$A$125,"&gt;="&amp;A11,'Дневник'!$A$6:$A$125,"&lt;="&amp;I11,'Дневник'!$I$6:$I$125,"&gt;0")+COUNTIFS('Дневник'!$A$6:$A$125,"&gt;="&amp;A11,'Дневник'!$A$6:$A$125,"&lt;="&amp;I11,'Дневник'!$J$6:$J$125,"&gt;0")-COUNTIFS('Дневник'!$A$6:$A$125,"&gt;="&amp;A11,'Дневник'!$A$6:$A$125,"&lt;="&amp;I11,'Дневник'!$I$6:$I$125,"&gt;0",'Дневник'!$J$6:$J$125,"&gt;0"))</x:f>
      </x:c>
      <x:c r="I11" s="12" t="n">
        <x:f>'Календарь'!B11</x:f>
        <x:v>46313</x:v>
      </x:c>
    </x:row>
    <x:row r="12" ht="28" customHeight="1">
      <x:c r="A12" s="11" t="n">
        <x:f>'Календарь'!A12</x:f>
        <x:v>46314</x:v>
      </x:c>
      <x:c r="B12" s="13" t="str">
        <x:f>IF(COUNTIFS('Дневник'!$A$6:$A$125,"&gt;="&amp;A12,'Дневник'!$A$6:$A$125,"&lt;="&amp;I12,'Дневник'!$C$6:$C$125,"&gt;0")=0,"",COUNTIFS('Дневник'!$A$6:$A$125,"&gt;="&amp;A12,'Дневник'!$A$6:$A$125,"&lt;="&amp;I12,'Дневник'!$C$6:$C$125,"&gt;0"))</x:f>
      </x:c>
      <x:c r="C12" s="13" t="str">
        <x:f>IF(B12="","",SUMIFS('Дневник'!$C$6:$C$125,'Дневник'!$A$6:$A$125,"&gt;="&amp;A12,'Дневник'!$A$6:$A$125,"&lt;="&amp;I12))</x:f>
      </x:c>
      <x:c r="D12" s="13" t="str">
        <x:f>IF(B12="","",SUMIFS('Дневник'!$E$6:$E$125,'Дневник'!$A$6:$A$125,"&gt;="&amp;A12,'Дневник'!$A$6:$A$125,"&lt;="&amp;I12))</x:f>
      </x:c>
      <x:c r="E12" s="13" t="str">
        <x:f>IF(B12="","",SUMIFS('Дневник'!$F$6:$F$125,'Дневник'!$A$6:$A$125,"&gt;="&amp;A12,'Дневник'!$A$6:$A$125,"&lt;="&amp;I12))</x:f>
      </x:c>
      <x:c r="F12" s="13" t="str">
        <x:f>IF(B12="","",SUMIFS('Дневник'!$G$6:$G$125,'Дневник'!$A$6:$A$125,"&gt;="&amp;A12,'Дневник'!$A$6:$A$125,"&lt;="&amp;I12))</x:f>
      </x:c>
      <x:c r="G12" s="18" t="str">
        <x:f>IF(B12="","",IFERROR(SUMIFS('Дневник'!$D$6:$D$125,'Дневник'!$A$6:$A$125,"&gt;="&amp;A12,'Дневник'!$A$6:$A$125,"&lt;="&amp;I12,'Дневник'!$C$6:$C$125,"&gt;0")/COUNTIFS('Дневник'!$A$6:$A$125,"&gt;="&amp;A12,'Дневник'!$A$6:$A$125,"&lt;="&amp;I12,'Дневник'!$C$6:$C$125,"&gt;0",'Дневник'!$D$6:$D$125,"&lt;&gt;"),""))</x:f>
      </x:c>
      <x:c r="H12" s="13" t="str">
        <x:f>IF(B12="","",COUNTIFS('Дневник'!$A$6:$A$125,"&gt;="&amp;A12,'Дневник'!$A$6:$A$125,"&lt;="&amp;I12,'Дневник'!$I$6:$I$125,"&gt;0")+COUNTIFS('Дневник'!$A$6:$A$125,"&gt;="&amp;A12,'Дневник'!$A$6:$A$125,"&lt;="&amp;I12,'Дневник'!$J$6:$J$125,"&gt;0")-COUNTIFS('Дневник'!$A$6:$A$125,"&gt;="&amp;A12,'Дневник'!$A$6:$A$125,"&lt;="&amp;I12,'Дневник'!$I$6:$I$125,"&gt;0",'Дневник'!$J$6:$J$125,"&gt;0"))</x:f>
      </x:c>
      <x:c r="I12" s="11" t="n">
        <x:f>'Календарь'!B12</x:f>
        <x:v>46320</x:v>
      </x:c>
    </x:row>
    <x:row r="13" ht="28" customHeight="1">
      <x:c r="A13" s="12" t="n">
        <x:f>'Календарь'!A13</x:f>
        <x:v>46321</x:v>
      </x:c>
      <x:c r="B13" s="14" t="str">
        <x:f>IF(COUNTIFS('Дневник'!$A$6:$A$125,"&gt;="&amp;A13,'Дневник'!$A$6:$A$125,"&lt;="&amp;I13,'Дневник'!$C$6:$C$125,"&gt;0")=0,"",COUNTIFS('Дневник'!$A$6:$A$125,"&gt;="&amp;A13,'Дневник'!$A$6:$A$125,"&lt;="&amp;I13,'Дневник'!$C$6:$C$125,"&gt;0"))</x:f>
      </x:c>
      <x:c r="C13" s="14" t="str">
        <x:f>IF(B13="","",SUMIFS('Дневник'!$C$6:$C$125,'Дневник'!$A$6:$A$125,"&gt;="&amp;A13,'Дневник'!$A$6:$A$125,"&lt;="&amp;I13))</x:f>
      </x:c>
      <x:c r="D13" s="14" t="str">
        <x:f>IF(B13="","",SUMIFS('Дневник'!$E$6:$E$125,'Дневник'!$A$6:$A$125,"&gt;="&amp;A13,'Дневник'!$A$6:$A$125,"&lt;="&amp;I13))</x:f>
      </x:c>
      <x:c r="E13" s="14" t="str">
        <x:f>IF(B13="","",SUMIFS('Дневник'!$F$6:$F$125,'Дневник'!$A$6:$A$125,"&gt;="&amp;A13,'Дневник'!$A$6:$A$125,"&lt;="&amp;I13))</x:f>
      </x:c>
      <x:c r="F13" s="14" t="str">
        <x:f>IF(B13="","",SUMIFS('Дневник'!$G$6:$G$125,'Дневник'!$A$6:$A$125,"&gt;="&amp;A13,'Дневник'!$A$6:$A$125,"&lt;="&amp;I13))</x:f>
      </x:c>
      <x:c r="G13" s="19" t="str">
        <x:f>IF(B13="","",IFERROR(SUMIFS('Дневник'!$D$6:$D$125,'Дневник'!$A$6:$A$125,"&gt;="&amp;A13,'Дневник'!$A$6:$A$125,"&lt;="&amp;I13,'Дневник'!$C$6:$C$125,"&gt;0")/COUNTIFS('Дневник'!$A$6:$A$125,"&gt;="&amp;A13,'Дневник'!$A$6:$A$125,"&lt;="&amp;I13,'Дневник'!$C$6:$C$125,"&gt;0",'Дневник'!$D$6:$D$125,"&lt;&gt;"),""))</x:f>
      </x:c>
      <x:c r="H13" s="14" t="str">
        <x:f>IF(B13="","",COUNTIFS('Дневник'!$A$6:$A$125,"&gt;="&amp;A13,'Дневник'!$A$6:$A$125,"&lt;="&amp;I13,'Дневник'!$I$6:$I$125,"&gt;0")+COUNTIFS('Дневник'!$A$6:$A$125,"&gt;="&amp;A13,'Дневник'!$A$6:$A$125,"&lt;="&amp;I13,'Дневник'!$J$6:$J$125,"&gt;0")-COUNTIFS('Дневник'!$A$6:$A$125,"&gt;="&amp;A13,'Дневник'!$A$6:$A$125,"&lt;="&amp;I13,'Дневник'!$I$6:$I$125,"&gt;0",'Дневник'!$J$6:$J$125,"&gt;0"))</x:f>
      </x:c>
      <x:c r="I13" s="12" t="n">
        <x:f>'Календарь'!B13</x:f>
        <x:v>46327</x:v>
      </x:c>
    </x:row>
    <x:row r="14" ht="28" customHeight="1">
      <x:c r="A14" s="11" t="n">
        <x:f>'Календарь'!A14</x:f>
        <x:v>46328</x:v>
      </x:c>
      <x:c r="B14" s="13" t="str">
        <x:f>IF(COUNTIFS('Дневник'!$A$6:$A$125,"&gt;="&amp;A14,'Дневник'!$A$6:$A$125,"&lt;="&amp;I14,'Дневник'!$C$6:$C$125,"&gt;0")=0,"",COUNTIFS('Дневник'!$A$6:$A$125,"&gt;="&amp;A14,'Дневник'!$A$6:$A$125,"&lt;="&amp;I14,'Дневник'!$C$6:$C$125,"&gt;0"))</x:f>
      </x:c>
      <x:c r="C14" s="13" t="str">
        <x:f>IF(B14="","",SUMIFS('Дневник'!$C$6:$C$125,'Дневник'!$A$6:$A$125,"&gt;="&amp;A14,'Дневник'!$A$6:$A$125,"&lt;="&amp;I14))</x:f>
      </x:c>
      <x:c r="D14" s="13" t="str">
        <x:f>IF(B14="","",SUMIFS('Дневник'!$E$6:$E$125,'Дневник'!$A$6:$A$125,"&gt;="&amp;A14,'Дневник'!$A$6:$A$125,"&lt;="&amp;I14))</x:f>
      </x:c>
      <x:c r="E14" s="13" t="str">
        <x:f>IF(B14="","",SUMIFS('Дневник'!$F$6:$F$125,'Дневник'!$A$6:$A$125,"&gt;="&amp;A14,'Дневник'!$A$6:$A$125,"&lt;="&amp;I14))</x:f>
      </x:c>
      <x:c r="F14" s="13" t="str">
        <x:f>IF(B14="","",SUMIFS('Дневник'!$G$6:$G$125,'Дневник'!$A$6:$A$125,"&gt;="&amp;A14,'Дневник'!$A$6:$A$125,"&lt;="&amp;I14))</x:f>
      </x:c>
      <x:c r="G14" s="18" t="str">
        <x:f>IF(B14="","",IFERROR(SUMIFS('Дневник'!$D$6:$D$125,'Дневник'!$A$6:$A$125,"&gt;="&amp;A14,'Дневник'!$A$6:$A$125,"&lt;="&amp;I14,'Дневник'!$C$6:$C$125,"&gt;0")/COUNTIFS('Дневник'!$A$6:$A$125,"&gt;="&amp;A14,'Дневник'!$A$6:$A$125,"&lt;="&amp;I14,'Дневник'!$C$6:$C$125,"&gt;0",'Дневник'!$D$6:$D$125,"&lt;&gt;"),""))</x:f>
      </x:c>
      <x:c r="H14" s="13" t="str">
        <x:f>IF(B14="","",COUNTIFS('Дневник'!$A$6:$A$125,"&gt;="&amp;A14,'Дневник'!$A$6:$A$125,"&lt;="&amp;I14,'Дневник'!$I$6:$I$125,"&gt;0")+COUNTIFS('Дневник'!$A$6:$A$125,"&gt;="&amp;A14,'Дневник'!$A$6:$A$125,"&lt;="&amp;I14,'Дневник'!$J$6:$J$125,"&gt;0")-COUNTIFS('Дневник'!$A$6:$A$125,"&gt;="&amp;A14,'Дневник'!$A$6:$A$125,"&lt;="&amp;I14,'Дневник'!$I$6:$I$125,"&gt;0",'Дневник'!$J$6:$J$125,"&gt;0"))</x:f>
      </x:c>
      <x:c r="I14" s="11" t="n">
        <x:f>'Календарь'!B14</x:f>
        <x:v>46334</x:v>
      </x:c>
    </x:row>
    <x:row r="15" ht="28" customHeight="1">
      <x:c r="A15" s="12" t="n">
        <x:f>'Календарь'!A15</x:f>
        <x:v>46335</x:v>
      </x:c>
      <x:c r="B15" s="14" t="str">
        <x:f>IF(COUNTIFS('Дневник'!$A$6:$A$125,"&gt;="&amp;A15,'Дневник'!$A$6:$A$125,"&lt;="&amp;I15,'Дневник'!$C$6:$C$125,"&gt;0")=0,"",COUNTIFS('Дневник'!$A$6:$A$125,"&gt;="&amp;A15,'Дневник'!$A$6:$A$125,"&lt;="&amp;I15,'Дневник'!$C$6:$C$125,"&gt;0"))</x:f>
      </x:c>
      <x:c r="C15" s="14" t="str">
        <x:f>IF(B15="","",SUMIFS('Дневник'!$C$6:$C$125,'Дневник'!$A$6:$A$125,"&gt;="&amp;A15,'Дневник'!$A$6:$A$125,"&lt;="&amp;I15))</x:f>
      </x:c>
      <x:c r="D15" s="14" t="str">
        <x:f>IF(B15="","",SUMIFS('Дневник'!$E$6:$E$125,'Дневник'!$A$6:$A$125,"&gt;="&amp;A15,'Дневник'!$A$6:$A$125,"&lt;="&amp;I15))</x:f>
      </x:c>
      <x:c r="E15" s="14" t="str">
        <x:f>IF(B15="","",SUMIFS('Дневник'!$F$6:$F$125,'Дневник'!$A$6:$A$125,"&gt;="&amp;A15,'Дневник'!$A$6:$A$125,"&lt;="&amp;I15))</x:f>
      </x:c>
      <x:c r="F15" s="14" t="str">
        <x:f>IF(B15="","",SUMIFS('Дневник'!$G$6:$G$125,'Дневник'!$A$6:$A$125,"&gt;="&amp;A15,'Дневник'!$A$6:$A$125,"&lt;="&amp;I15))</x:f>
      </x:c>
      <x:c r="G15" s="19" t="str">
        <x:f>IF(B15="","",IFERROR(SUMIFS('Дневник'!$D$6:$D$125,'Дневник'!$A$6:$A$125,"&gt;="&amp;A15,'Дневник'!$A$6:$A$125,"&lt;="&amp;I15,'Дневник'!$C$6:$C$125,"&gt;0")/COUNTIFS('Дневник'!$A$6:$A$125,"&gt;="&amp;A15,'Дневник'!$A$6:$A$125,"&lt;="&amp;I15,'Дневник'!$C$6:$C$125,"&gt;0",'Дневник'!$D$6:$D$125,"&lt;&gt;"),""))</x:f>
      </x:c>
      <x:c r="H15" s="14" t="str">
        <x:f>IF(B15="","",COUNTIFS('Дневник'!$A$6:$A$125,"&gt;="&amp;A15,'Дневник'!$A$6:$A$125,"&lt;="&amp;I15,'Дневник'!$I$6:$I$125,"&gt;0")+COUNTIFS('Дневник'!$A$6:$A$125,"&gt;="&amp;A15,'Дневник'!$A$6:$A$125,"&lt;="&amp;I15,'Дневник'!$J$6:$J$125,"&gt;0")-COUNTIFS('Дневник'!$A$6:$A$125,"&gt;="&amp;A15,'Дневник'!$A$6:$A$125,"&lt;="&amp;I15,'Дневник'!$I$6:$I$125,"&gt;0",'Дневник'!$J$6:$J$125,"&gt;0"))</x:f>
      </x:c>
      <x:c r="I15" s="12" t="n">
        <x:f>'Календарь'!B15</x:f>
        <x:v>46341</x:v>
      </x:c>
    </x:row>
    <x:row r="16" ht="28" customHeight="1">
      <x:c r="A16" s="11" t="n">
        <x:f>'Календарь'!A16</x:f>
        <x:v>46342</x:v>
      </x:c>
      <x:c r="B16" s="13" t="str">
        <x:f>IF(COUNTIFS('Дневник'!$A$6:$A$125,"&gt;="&amp;A16,'Дневник'!$A$6:$A$125,"&lt;="&amp;I16,'Дневник'!$C$6:$C$125,"&gt;0")=0,"",COUNTIFS('Дневник'!$A$6:$A$125,"&gt;="&amp;A16,'Дневник'!$A$6:$A$125,"&lt;="&amp;I16,'Дневник'!$C$6:$C$125,"&gt;0"))</x:f>
      </x:c>
      <x:c r="C16" s="13" t="str">
        <x:f>IF(B16="","",SUMIFS('Дневник'!$C$6:$C$125,'Дневник'!$A$6:$A$125,"&gt;="&amp;A16,'Дневник'!$A$6:$A$125,"&lt;="&amp;I16))</x:f>
      </x:c>
      <x:c r="D16" s="13" t="str">
        <x:f>IF(B16="","",SUMIFS('Дневник'!$E$6:$E$125,'Дневник'!$A$6:$A$125,"&gt;="&amp;A16,'Дневник'!$A$6:$A$125,"&lt;="&amp;I16))</x:f>
      </x:c>
      <x:c r="E16" s="13" t="str">
        <x:f>IF(B16="","",SUMIFS('Дневник'!$F$6:$F$125,'Дневник'!$A$6:$A$125,"&gt;="&amp;A16,'Дневник'!$A$6:$A$125,"&lt;="&amp;I16))</x:f>
      </x:c>
      <x:c r="F16" s="13" t="str">
        <x:f>IF(B16="","",SUMIFS('Дневник'!$G$6:$G$125,'Дневник'!$A$6:$A$125,"&gt;="&amp;A16,'Дневник'!$A$6:$A$125,"&lt;="&amp;I16))</x:f>
      </x:c>
      <x:c r="G16" s="18" t="str">
        <x:f>IF(B16="","",IFERROR(SUMIFS('Дневник'!$D$6:$D$125,'Дневник'!$A$6:$A$125,"&gt;="&amp;A16,'Дневник'!$A$6:$A$125,"&lt;="&amp;I16,'Дневник'!$C$6:$C$125,"&gt;0")/COUNTIFS('Дневник'!$A$6:$A$125,"&gt;="&amp;A16,'Дневник'!$A$6:$A$125,"&lt;="&amp;I16,'Дневник'!$C$6:$C$125,"&gt;0",'Дневник'!$D$6:$D$125,"&lt;&gt;"),""))</x:f>
      </x:c>
      <x:c r="H16" s="13" t="str">
        <x:f>IF(B16="","",COUNTIFS('Дневник'!$A$6:$A$125,"&gt;="&amp;A16,'Дневник'!$A$6:$A$125,"&lt;="&amp;I16,'Дневник'!$I$6:$I$125,"&gt;0")+COUNTIFS('Дневник'!$A$6:$A$125,"&gt;="&amp;A16,'Дневник'!$A$6:$A$125,"&lt;="&amp;I16,'Дневник'!$J$6:$J$125,"&gt;0")-COUNTIFS('Дневник'!$A$6:$A$125,"&gt;="&amp;A16,'Дневник'!$A$6:$A$125,"&lt;="&amp;I16,'Дневник'!$I$6:$I$125,"&gt;0",'Дневник'!$J$6:$J$125,"&gt;0"))</x:f>
      </x:c>
      <x:c r="I16" s="11" t="n">
        <x:f>'Календарь'!B16</x:f>
        <x:v>46348</x:v>
      </x:c>
    </x:row>
    <x:row r="17" ht="28" customHeight="1">
      <x:c r="A17" s="12" t="n">
        <x:f>'Календарь'!A17</x:f>
        <x:v>46349</x:v>
      </x:c>
      <x:c r="B17" s="14" t="str">
        <x:f>IF(COUNTIFS('Дневник'!$A$6:$A$125,"&gt;="&amp;A17,'Дневник'!$A$6:$A$125,"&lt;="&amp;I17,'Дневник'!$C$6:$C$125,"&gt;0")=0,"",COUNTIFS('Дневник'!$A$6:$A$125,"&gt;="&amp;A17,'Дневник'!$A$6:$A$125,"&lt;="&amp;I17,'Дневник'!$C$6:$C$125,"&gt;0"))</x:f>
      </x:c>
      <x:c r="C17" s="14" t="str">
        <x:f>IF(B17="","",SUMIFS('Дневник'!$C$6:$C$125,'Дневник'!$A$6:$A$125,"&gt;="&amp;A17,'Дневник'!$A$6:$A$125,"&lt;="&amp;I17))</x:f>
      </x:c>
      <x:c r="D17" s="14" t="str">
        <x:f>IF(B17="","",SUMIFS('Дневник'!$E$6:$E$125,'Дневник'!$A$6:$A$125,"&gt;="&amp;A17,'Дневник'!$A$6:$A$125,"&lt;="&amp;I17))</x:f>
      </x:c>
      <x:c r="E17" s="14" t="str">
        <x:f>IF(B17="","",SUMIFS('Дневник'!$F$6:$F$125,'Дневник'!$A$6:$A$125,"&gt;="&amp;A17,'Дневник'!$A$6:$A$125,"&lt;="&amp;I17))</x:f>
      </x:c>
      <x:c r="F17" s="14" t="str">
        <x:f>IF(B17="","",SUMIFS('Дневник'!$G$6:$G$125,'Дневник'!$A$6:$A$125,"&gt;="&amp;A17,'Дневник'!$A$6:$A$125,"&lt;="&amp;I17))</x:f>
      </x:c>
      <x:c r="G17" s="19" t="str">
        <x:f>IF(B17="","",IFERROR(SUMIFS('Дневник'!$D$6:$D$125,'Дневник'!$A$6:$A$125,"&gt;="&amp;A17,'Дневник'!$A$6:$A$125,"&lt;="&amp;I17,'Дневник'!$C$6:$C$125,"&gt;0")/COUNTIFS('Дневник'!$A$6:$A$125,"&gt;="&amp;A17,'Дневник'!$A$6:$A$125,"&lt;="&amp;I17,'Дневник'!$C$6:$C$125,"&gt;0",'Дневник'!$D$6:$D$125,"&lt;&gt;"),""))</x:f>
      </x:c>
      <x:c r="H17" s="14" t="str">
        <x:f>IF(B17="","",COUNTIFS('Дневник'!$A$6:$A$125,"&gt;="&amp;A17,'Дневник'!$A$6:$A$125,"&lt;="&amp;I17,'Дневник'!$I$6:$I$125,"&gt;0")+COUNTIFS('Дневник'!$A$6:$A$125,"&gt;="&amp;A17,'Дневник'!$A$6:$A$125,"&lt;="&amp;I17,'Дневник'!$J$6:$J$125,"&gt;0")-COUNTIFS('Дневник'!$A$6:$A$125,"&gt;="&amp;A17,'Дневник'!$A$6:$A$125,"&lt;="&amp;I17,'Дневник'!$I$6:$I$125,"&gt;0",'Дневник'!$J$6:$J$125,"&gt;0"))</x:f>
      </x:c>
      <x:c r="I17" s="12" t="n">
        <x:f>'Календарь'!B17</x:f>
        <x:v>46355</x:v>
      </x:c>
    </x:row>
    <x:row r="18" ht="28" customHeight="1">
      <x:c r="A18" s="11" t="n">
        <x:f>'Календарь'!A18</x:f>
        <x:v>46356</x:v>
      </x:c>
      <x:c r="B18" s="13" t="str">
        <x:f>IF(COUNTIFS('Дневник'!$A$6:$A$125,"&gt;="&amp;A18,'Дневник'!$A$6:$A$125,"&lt;="&amp;I18,'Дневник'!$C$6:$C$125,"&gt;0")=0,"",COUNTIFS('Дневник'!$A$6:$A$125,"&gt;="&amp;A18,'Дневник'!$A$6:$A$125,"&lt;="&amp;I18,'Дневник'!$C$6:$C$125,"&gt;0"))</x:f>
      </x:c>
      <x:c r="C18" s="13" t="str">
        <x:f>IF(B18="","",SUMIFS('Дневник'!$C$6:$C$125,'Дневник'!$A$6:$A$125,"&gt;="&amp;A18,'Дневник'!$A$6:$A$125,"&lt;="&amp;I18))</x:f>
      </x:c>
      <x:c r="D18" s="13" t="str">
        <x:f>IF(B18="","",SUMIFS('Дневник'!$E$6:$E$125,'Дневник'!$A$6:$A$125,"&gt;="&amp;A18,'Дневник'!$A$6:$A$125,"&lt;="&amp;I18))</x:f>
      </x:c>
      <x:c r="E18" s="13" t="str">
        <x:f>IF(B18="","",SUMIFS('Дневник'!$F$6:$F$125,'Дневник'!$A$6:$A$125,"&gt;="&amp;A18,'Дневник'!$A$6:$A$125,"&lt;="&amp;I18))</x:f>
      </x:c>
      <x:c r="F18" s="13" t="str">
        <x:f>IF(B18="","",SUMIFS('Дневник'!$G$6:$G$125,'Дневник'!$A$6:$A$125,"&gt;="&amp;A18,'Дневник'!$A$6:$A$125,"&lt;="&amp;I18))</x:f>
      </x:c>
      <x:c r="G18" s="18" t="str">
        <x:f>IF(B18="","",IFERROR(SUMIFS('Дневник'!$D$6:$D$125,'Дневник'!$A$6:$A$125,"&gt;="&amp;A18,'Дневник'!$A$6:$A$125,"&lt;="&amp;I18,'Дневник'!$C$6:$C$125,"&gt;0")/COUNTIFS('Дневник'!$A$6:$A$125,"&gt;="&amp;A18,'Дневник'!$A$6:$A$125,"&lt;="&amp;I18,'Дневник'!$C$6:$C$125,"&gt;0",'Дневник'!$D$6:$D$125,"&lt;&gt;"),""))</x:f>
      </x:c>
      <x:c r="H18" s="13" t="str">
        <x:f>IF(B18="","",COUNTIFS('Дневник'!$A$6:$A$125,"&gt;="&amp;A18,'Дневник'!$A$6:$A$125,"&lt;="&amp;I18,'Дневник'!$I$6:$I$125,"&gt;0")+COUNTIFS('Дневник'!$A$6:$A$125,"&gt;="&amp;A18,'Дневник'!$A$6:$A$125,"&lt;="&amp;I18,'Дневник'!$J$6:$J$125,"&gt;0")-COUNTIFS('Дневник'!$A$6:$A$125,"&gt;="&amp;A18,'Дневник'!$A$6:$A$125,"&lt;="&amp;I18,'Дневник'!$I$6:$I$125,"&gt;0",'Дневник'!$J$6:$J$125,"&gt;0"))</x:f>
      </x:c>
      <x:c r="I18" s="11" t="n">
        <x:f>'Календарь'!B18</x:f>
        <x:v>46362</x:v>
      </x:c>
    </x:row>
    <x:row r="19" ht="28" customHeight="1">
      <x:c r="A19" s="12" t="n">
        <x:f>'Календарь'!A19</x:f>
        <x:v>46363</x:v>
      </x:c>
      <x:c r="B19" s="14" t="str">
        <x:f>IF(COUNTIFS('Дневник'!$A$6:$A$125,"&gt;="&amp;A19,'Дневник'!$A$6:$A$125,"&lt;="&amp;I19,'Дневник'!$C$6:$C$125,"&gt;0")=0,"",COUNTIFS('Дневник'!$A$6:$A$125,"&gt;="&amp;A19,'Дневник'!$A$6:$A$125,"&lt;="&amp;I19,'Дневник'!$C$6:$C$125,"&gt;0"))</x:f>
      </x:c>
      <x:c r="C19" s="14" t="str">
        <x:f>IF(B19="","",SUMIFS('Дневник'!$C$6:$C$125,'Дневник'!$A$6:$A$125,"&gt;="&amp;A19,'Дневник'!$A$6:$A$125,"&lt;="&amp;I19))</x:f>
      </x:c>
      <x:c r="D19" s="14" t="str">
        <x:f>IF(B19="","",SUMIFS('Дневник'!$E$6:$E$125,'Дневник'!$A$6:$A$125,"&gt;="&amp;A19,'Дневник'!$A$6:$A$125,"&lt;="&amp;I19))</x:f>
      </x:c>
      <x:c r="E19" s="14" t="str">
        <x:f>IF(B19="","",SUMIFS('Дневник'!$F$6:$F$125,'Дневник'!$A$6:$A$125,"&gt;="&amp;A19,'Дневник'!$A$6:$A$125,"&lt;="&amp;I19))</x:f>
      </x:c>
      <x:c r="F19" s="14" t="str">
        <x:f>IF(B19="","",SUMIFS('Дневник'!$G$6:$G$125,'Дневник'!$A$6:$A$125,"&gt;="&amp;A19,'Дневник'!$A$6:$A$125,"&lt;="&amp;I19))</x:f>
      </x:c>
      <x:c r="G19" s="19" t="str">
        <x:f>IF(B19="","",IFERROR(SUMIFS('Дневник'!$D$6:$D$125,'Дневник'!$A$6:$A$125,"&gt;="&amp;A19,'Дневник'!$A$6:$A$125,"&lt;="&amp;I19,'Дневник'!$C$6:$C$125,"&gt;0")/COUNTIFS('Дневник'!$A$6:$A$125,"&gt;="&amp;A19,'Дневник'!$A$6:$A$125,"&lt;="&amp;I19,'Дневник'!$C$6:$C$125,"&gt;0",'Дневник'!$D$6:$D$125,"&lt;&gt;"),""))</x:f>
      </x:c>
      <x:c r="H19" s="14" t="str">
        <x:f>IF(B19="","",COUNTIFS('Дневник'!$A$6:$A$125,"&gt;="&amp;A19,'Дневник'!$A$6:$A$125,"&lt;="&amp;I19,'Дневник'!$I$6:$I$125,"&gt;0")+COUNTIFS('Дневник'!$A$6:$A$125,"&gt;="&amp;A19,'Дневник'!$A$6:$A$125,"&lt;="&amp;I19,'Дневник'!$J$6:$J$125,"&gt;0")-COUNTIFS('Дневник'!$A$6:$A$125,"&gt;="&amp;A19,'Дневник'!$A$6:$A$125,"&lt;="&amp;I19,'Дневник'!$I$6:$I$125,"&gt;0",'Дневник'!$J$6:$J$125,"&gt;0"))</x:f>
      </x:c>
      <x:c r="I19" s="12" t="n">
        <x:f>'Календарь'!B19</x:f>
        <x:v>46369</x:v>
      </x:c>
    </x:row>
    <x:row r="20" ht="28" customHeight="1">
      <x:c r="A20" s="11" t="n">
        <x:f>'Календарь'!A20</x:f>
        <x:v>46370</x:v>
      </x:c>
      <x:c r="B20" s="13" t="str">
        <x:f>IF(COUNTIFS('Дневник'!$A$6:$A$125,"&gt;="&amp;A20,'Дневник'!$A$6:$A$125,"&lt;="&amp;I20,'Дневник'!$C$6:$C$125,"&gt;0")=0,"",COUNTIFS('Дневник'!$A$6:$A$125,"&gt;="&amp;A20,'Дневник'!$A$6:$A$125,"&lt;="&amp;I20,'Дневник'!$C$6:$C$125,"&gt;0"))</x:f>
      </x:c>
      <x:c r="C20" s="13" t="str">
        <x:f>IF(B20="","",SUMIFS('Дневник'!$C$6:$C$125,'Дневник'!$A$6:$A$125,"&gt;="&amp;A20,'Дневник'!$A$6:$A$125,"&lt;="&amp;I20))</x:f>
      </x:c>
      <x:c r="D20" s="13" t="str">
        <x:f>IF(B20="","",SUMIFS('Дневник'!$E$6:$E$125,'Дневник'!$A$6:$A$125,"&gt;="&amp;A20,'Дневник'!$A$6:$A$125,"&lt;="&amp;I20))</x:f>
      </x:c>
      <x:c r="E20" s="13" t="str">
        <x:f>IF(B20="","",SUMIFS('Дневник'!$F$6:$F$125,'Дневник'!$A$6:$A$125,"&gt;="&amp;A20,'Дневник'!$A$6:$A$125,"&lt;="&amp;I20))</x:f>
      </x:c>
      <x:c r="F20" s="13" t="str">
        <x:f>IF(B20="","",SUMIFS('Дневник'!$G$6:$G$125,'Дневник'!$A$6:$A$125,"&gt;="&amp;A20,'Дневник'!$A$6:$A$125,"&lt;="&amp;I20))</x:f>
      </x:c>
      <x:c r="G20" s="18" t="str">
        <x:f>IF(B20="","",IFERROR(SUMIFS('Дневник'!$D$6:$D$125,'Дневник'!$A$6:$A$125,"&gt;="&amp;A20,'Дневник'!$A$6:$A$125,"&lt;="&amp;I20,'Дневник'!$C$6:$C$125,"&gt;0")/COUNTIFS('Дневник'!$A$6:$A$125,"&gt;="&amp;A20,'Дневник'!$A$6:$A$125,"&lt;="&amp;I20,'Дневник'!$C$6:$C$125,"&gt;0",'Дневник'!$D$6:$D$125,"&lt;&gt;"),""))</x:f>
      </x:c>
      <x:c r="H20" s="13" t="str">
        <x:f>IF(B20="","",COUNTIFS('Дневник'!$A$6:$A$125,"&gt;="&amp;A20,'Дневник'!$A$6:$A$125,"&lt;="&amp;I20,'Дневник'!$I$6:$I$125,"&gt;0")+COUNTIFS('Дневник'!$A$6:$A$125,"&gt;="&amp;A20,'Дневник'!$A$6:$A$125,"&lt;="&amp;I20,'Дневник'!$J$6:$J$125,"&gt;0")-COUNTIFS('Дневник'!$A$6:$A$125,"&gt;="&amp;A20,'Дневник'!$A$6:$A$125,"&lt;="&amp;I20,'Дневник'!$I$6:$I$125,"&gt;0",'Дневник'!$J$6:$J$125,"&gt;0"))</x:f>
      </x:c>
      <x:c r="I20" s="11" t="n">
        <x:f>'Календарь'!B20</x:f>
        <x:v>46376</x:v>
      </x:c>
    </x:row>
    <x:row r="21" ht="28" customHeight="1">
      <x:c r="A21" s="12" t="n">
        <x:f>'Календарь'!A21</x:f>
        <x:v>46377</x:v>
      </x:c>
      <x:c r="B21" s="14" t="str">
        <x:f>IF(COUNTIFS('Дневник'!$A$6:$A$125,"&gt;="&amp;A21,'Дневник'!$A$6:$A$125,"&lt;="&amp;I21,'Дневник'!$C$6:$C$125,"&gt;0")=0,"",COUNTIFS('Дневник'!$A$6:$A$125,"&gt;="&amp;A21,'Дневник'!$A$6:$A$125,"&lt;="&amp;I21,'Дневник'!$C$6:$C$125,"&gt;0"))</x:f>
      </x:c>
      <x:c r="C21" s="14" t="str">
        <x:f>IF(B21="","",SUMIFS('Дневник'!$C$6:$C$125,'Дневник'!$A$6:$A$125,"&gt;="&amp;A21,'Дневник'!$A$6:$A$125,"&lt;="&amp;I21))</x:f>
      </x:c>
      <x:c r="D21" s="14" t="str">
        <x:f>IF(B21="","",SUMIFS('Дневник'!$E$6:$E$125,'Дневник'!$A$6:$A$125,"&gt;="&amp;A21,'Дневник'!$A$6:$A$125,"&lt;="&amp;I21))</x:f>
      </x:c>
      <x:c r="E21" s="14" t="str">
        <x:f>IF(B21="","",SUMIFS('Дневник'!$F$6:$F$125,'Дневник'!$A$6:$A$125,"&gt;="&amp;A21,'Дневник'!$A$6:$A$125,"&lt;="&amp;I21))</x:f>
      </x:c>
      <x:c r="F21" s="14" t="str">
        <x:f>IF(B21="","",SUMIFS('Дневник'!$G$6:$G$125,'Дневник'!$A$6:$A$125,"&gt;="&amp;A21,'Дневник'!$A$6:$A$125,"&lt;="&amp;I21))</x:f>
      </x:c>
      <x:c r="G21" s="19" t="str">
        <x:f>IF(B21="","",IFERROR(SUMIFS('Дневник'!$D$6:$D$125,'Дневник'!$A$6:$A$125,"&gt;="&amp;A21,'Дневник'!$A$6:$A$125,"&lt;="&amp;I21,'Дневник'!$C$6:$C$125,"&gt;0")/COUNTIFS('Дневник'!$A$6:$A$125,"&gt;="&amp;A21,'Дневник'!$A$6:$A$125,"&lt;="&amp;I21,'Дневник'!$C$6:$C$125,"&gt;0",'Дневник'!$D$6:$D$125,"&lt;&gt;"),""))</x:f>
      </x:c>
      <x:c r="H21" s="14" t="str">
        <x:f>IF(B21="","",COUNTIFS('Дневник'!$A$6:$A$125,"&gt;="&amp;A21,'Дневник'!$A$6:$A$125,"&lt;="&amp;I21,'Дневник'!$I$6:$I$125,"&gt;0")+COUNTIFS('Дневник'!$A$6:$A$125,"&gt;="&amp;A21,'Дневник'!$A$6:$A$125,"&lt;="&amp;I21,'Дневник'!$J$6:$J$125,"&gt;0")-COUNTIFS('Дневник'!$A$6:$A$125,"&gt;="&amp;A21,'Дневник'!$A$6:$A$125,"&lt;="&amp;I21,'Дневник'!$I$6:$I$125,"&gt;0",'Дневник'!$J$6:$J$125,"&gt;0"))</x:f>
      </x:c>
      <x:c r="I21" s="12" t="n">
        <x:f>'Календарь'!B21</x:f>
        <x:v>46383</x:v>
      </x:c>
    </x:row>
    <x:row r="22" ht="28" customHeight="1">
      <x:c r="A22" s="11" t="n">
        <x:f>'Календарь'!A22</x:f>
        <x:v>46384</x:v>
      </x:c>
      <x:c r="B22" s="13" t="str">
        <x:f>IF(COUNTIFS('Дневник'!$A$6:$A$125,"&gt;="&amp;A22,'Дневник'!$A$6:$A$125,"&lt;="&amp;I22,'Дневник'!$C$6:$C$125,"&gt;0")=0,"",COUNTIFS('Дневник'!$A$6:$A$125,"&gt;="&amp;A22,'Дневник'!$A$6:$A$125,"&lt;="&amp;I22,'Дневник'!$C$6:$C$125,"&gt;0"))</x:f>
      </x:c>
      <x:c r="C22" s="13" t="str">
        <x:f>IF(B22="","",SUMIFS('Дневник'!$C$6:$C$125,'Дневник'!$A$6:$A$125,"&gt;="&amp;A22,'Дневник'!$A$6:$A$125,"&lt;="&amp;I22))</x:f>
      </x:c>
      <x:c r="D22" s="13" t="str">
        <x:f>IF(B22="","",SUMIFS('Дневник'!$E$6:$E$125,'Дневник'!$A$6:$A$125,"&gt;="&amp;A22,'Дневник'!$A$6:$A$125,"&lt;="&amp;I22))</x:f>
      </x:c>
      <x:c r="E22" s="13" t="str">
        <x:f>IF(B22="","",SUMIFS('Дневник'!$F$6:$F$125,'Дневник'!$A$6:$A$125,"&gt;="&amp;A22,'Дневник'!$A$6:$A$125,"&lt;="&amp;I22))</x:f>
      </x:c>
      <x:c r="F22" s="13" t="str">
        <x:f>IF(B22="","",SUMIFS('Дневник'!$G$6:$G$125,'Дневник'!$A$6:$A$125,"&gt;="&amp;A22,'Дневник'!$A$6:$A$125,"&lt;="&amp;I22))</x:f>
      </x:c>
      <x:c r="G22" s="18" t="str">
        <x:f>IF(B22="","",IFERROR(SUMIFS('Дневник'!$D$6:$D$125,'Дневник'!$A$6:$A$125,"&gt;="&amp;A22,'Дневник'!$A$6:$A$125,"&lt;="&amp;I22,'Дневник'!$C$6:$C$125,"&gt;0")/COUNTIFS('Дневник'!$A$6:$A$125,"&gt;="&amp;A22,'Дневник'!$A$6:$A$125,"&lt;="&amp;I22,'Дневник'!$C$6:$C$125,"&gt;0",'Дневник'!$D$6:$D$125,"&lt;&gt;"),""))</x:f>
      </x:c>
      <x:c r="H22" s="13" t="str">
        <x:f>IF(B22="","",COUNTIFS('Дневник'!$A$6:$A$125,"&gt;="&amp;A22,'Дневник'!$A$6:$A$125,"&lt;="&amp;I22,'Дневник'!$I$6:$I$125,"&gt;0")+COUNTIFS('Дневник'!$A$6:$A$125,"&gt;="&amp;A22,'Дневник'!$A$6:$A$125,"&lt;="&amp;I22,'Дневник'!$J$6:$J$125,"&gt;0")-COUNTIFS('Дневник'!$A$6:$A$125,"&gt;="&amp;A22,'Дневник'!$A$6:$A$125,"&lt;="&amp;I22,'Дневник'!$I$6:$I$125,"&gt;0",'Дневник'!$J$6:$J$125,"&gt;0"))</x:f>
      </x:c>
      <x:c r="I22" s="11" t="n">
        <x:f>'Календарь'!B22</x:f>
        <x:v>46390</x:v>
      </x:c>
    </x:row>
    <x:row r="23" ht="28" customHeight="1">
      <x:c r="A23" s="12" t="n">
        <x:f>'Календарь'!A23</x:f>
        <x:v>46391</x:v>
      </x:c>
      <x:c r="B23" s="14" t="str">
        <x:f>IF(COUNTIFS('Дневник'!$A$6:$A$125,"&gt;="&amp;A23,'Дневник'!$A$6:$A$125,"&lt;="&amp;I23,'Дневник'!$C$6:$C$125,"&gt;0")=0,"",COUNTIFS('Дневник'!$A$6:$A$125,"&gt;="&amp;A23,'Дневник'!$A$6:$A$125,"&lt;="&amp;I23,'Дневник'!$C$6:$C$125,"&gt;0"))</x:f>
      </x:c>
      <x:c r="C23" s="14" t="str">
        <x:f>IF(B23="","",SUMIFS('Дневник'!$C$6:$C$125,'Дневник'!$A$6:$A$125,"&gt;="&amp;A23,'Дневник'!$A$6:$A$125,"&lt;="&amp;I23))</x:f>
      </x:c>
      <x:c r="D23" s="14" t="str">
        <x:f>IF(B23="","",SUMIFS('Дневник'!$E$6:$E$125,'Дневник'!$A$6:$A$125,"&gt;="&amp;A23,'Дневник'!$A$6:$A$125,"&lt;="&amp;I23))</x:f>
      </x:c>
      <x:c r="E23" s="14" t="str">
        <x:f>IF(B23="","",SUMIFS('Дневник'!$F$6:$F$125,'Дневник'!$A$6:$A$125,"&gt;="&amp;A23,'Дневник'!$A$6:$A$125,"&lt;="&amp;I23))</x:f>
      </x:c>
      <x:c r="F23" s="14" t="str">
        <x:f>IF(B23="","",SUMIFS('Дневник'!$G$6:$G$125,'Дневник'!$A$6:$A$125,"&gt;="&amp;A23,'Дневник'!$A$6:$A$125,"&lt;="&amp;I23))</x:f>
      </x:c>
      <x:c r="G23" s="19" t="str">
        <x:f>IF(B23="","",IFERROR(SUMIFS('Дневник'!$D$6:$D$125,'Дневник'!$A$6:$A$125,"&gt;="&amp;A23,'Дневник'!$A$6:$A$125,"&lt;="&amp;I23,'Дневник'!$C$6:$C$125,"&gt;0")/COUNTIFS('Дневник'!$A$6:$A$125,"&gt;="&amp;A23,'Дневник'!$A$6:$A$125,"&lt;="&amp;I23,'Дневник'!$C$6:$C$125,"&gt;0",'Дневник'!$D$6:$D$125,"&lt;&gt;"),""))</x:f>
      </x:c>
      <x:c r="H23" s="14" t="str">
        <x:f>IF(B23="","",COUNTIFS('Дневник'!$A$6:$A$125,"&gt;="&amp;A23,'Дневник'!$A$6:$A$125,"&lt;="&amp;I23,'Дневник'!$I$6:$I$125,"&gt;0")+COUNTIFS('Дневник'!$A$6:$A$125,"&gt;="&amp;A23,'Дневник'!$A$6:$A$125,"&lt;="&amp;I23,'Дневник'!$J$6:$J$125,"&gt;0")-COUNTIFS('Дневник'!$A$6:$A$125,"&gt;="&amp;A23,'Дневник'!$A$6:$A$125,"&lt;="&amp;I23,'Дневник'!$I$6:$I$125,"&gt;0",'Дневник'!$J$6:$J$125,"&gt;0"))</x:f>
      </x:c>
      <x:c r="I23" s="12" t="n">
        <x:f>'Календарь'!B23</x:f>
        <x:v>46397</x:v>
      </x:c>
    </x:row>
    <x:row r="24" ht="28" customHeight="1">
      <x:c r="A24" s="11" t="n">
        <x:f>'Календарь'!A24</x:f>
        <x:v>46398</x:v>
      </x:c>
      <x:c r="B24" s="13" t="str">
        <x:f>IF(COUNTIFS('Дневник'!$A$6:$A$125,"&gt;="&amp;A24,'Дневник'!$A$6:$A$125,"&lt;="&amp;I24,'Дневник'!$C$6:$C$125,"&gt;0")=0,"",COUNTIFS('Дневник'!$A$6:$A$125,"&gt;="&amp;A24,'Дневник'!$A$6:$A$125,"&lt;="&amp;I24,'Дневник'!$C$6:$C$125,"&gt;0"))</x:f>
      </x:c>
      <x:c r="C24" s="13" t="str">
        <x:f>IF(B24="","",SUMIFS('Дневник'!$C$6:$C$125,'Дневник'!$A$6:$A$125,"&gt;="&amp;A24,'Дневник'!$A$6:$A$125,"&lt;="&amp;I24))</x:f>
      </x:c>
      <x:c r="D24" s="13" t="str">
        <x:f>IF(B24="","",SUMIFS('Дневник'!$E$6:$E$125,'Дневник'!$A$6:$A$125,"&gt;="&amp;A24,'Дневник'!$A$6:$A$125,"&lt;="&amp;I24))</x:f>
      </x:c>
      <x:c r="E24" s="13" t="str">
        <x:f>IF(B24="","",SUMIFS('Дневник'!$F$6:$F$125,'Дневник'!$A$6:$A$125,"&gt;="&amp;A24,'Дневник'!$A$6:$A$125,"&lt;="&amp;I24))</x:f>
      </x:c>
      <x:c r="F24" s="13" t="str">
        <x:f>IF(B24="","",SUMIFS('Дневник'!$G$6:$G$125,'Дневник'!$A$6:$A$125,"&gt;="&amp;A24,'Дневник'!$A$6:$A$125,"&lt;="&amp;I24))</x:f>
      </x:c>
      <x:c r="G24" s="18" t="str">
        <x:f>IF(B24="","",IFERROR(SUMIFS('Дневник'!$D$6:$D$125,'Дневник'!$A$6:$A$125,"&gt;="&amp;A24,'Дневник'!$A$6:$A$125,"&lt;="&amp;I24,'Дневник'!$C$6:$C$125,"&gt;0")/COUNTIFS('Дневник'!$A$6:$A$125,"&gt;="&amp;A24,'Дневник'!$A$6:$A$125,"&lt;="&amp;I24,'Дневник'!$C$6:$C$125,"&gt;0",'Дневник'!$D$6:$D$125,"&lt;&gt;"),""))</x:f>
      </x:c>
      <x:c r="H24" s="13" t="str">
        <x:f>IF(B24="","",COUNTIFS('Дневник'!$A$6:$A$125,"&gt;="&amp;A24,'Дневник'!$A$6:$A$125,"&lt;="&amp;I24,'Дневник'!$I$6:$I$125,"&gt;0")+COUNTIFS('Дневник'!$A$6:$A$125,"&gt;="&amp;A24,'Дневник'!$A$6:$A$125,"&lt;="&amp;I24,'Дневник'!$J$6:$J$125,"&gt;0")-COUNTIFS('Дневник'!$A$6:$A$125,"&gt;="&amp;A24,'Дневник'!$A$6:$A$125,"&lt;="&amp;I24,'Дневник'!$I$6:$I$125,"&gt;0",'Дневник'!$J$6:$J$125,"&gt;0"))</x:f>
      </x:c>
      <x:c r="I24" s="11" t="n">
        <x:f>'Календарь'!B24</x:f>
        <x:v>46404</x:v>
      </x:c>
    </x:row>
    <x:row r="25" ht="28" customHeight="1">
      <x:c r="A25" s="12" t="n">
        <x:f>'Календарь'!A25</x:f>
        <x:v>46405</x:v>
      </x:c>
      <x:c r="B25" s="14" t="str">
        <x:f>IF(COUNTIFS('Дневник'!$A$6:$A$125,"&gt;="&amp;A25,'Дневник'!$A$6:$A$125,"&lt;="&amp;I25,'Дневник'!$C$6:$C$125,"&gt;0")=0,"",COUNTIFS('Дневник'!$A$6:$A$125,"&gt;="&amp;A25,'Дневник'!$A$6:$A$125,"&lt;="&amp;I25,'Дневник'!$C$6:$C$125,"&gt;0"))</x:f>
      </x:c>
      <x:c r="C25" s="14" t="str">
        <x:f>IF(B25="","",SUMIFS('Дневник'!$C$6:$C$125,'Дневник'!$A$6:$A$125,"&gt;="&amp;A25,'Дневник'!$A$6:$A$125,"&lt;="&amp;I25))</x:f>
      </x:c>
      <x:c r="D25" s="14" t="str">
        <x:f>IF(B25="","",SUMIFS('Дневник'!$E$6:$E$125,'Дневник'!$A$6:$A$125,"&gt;="&amp;A25,'Дневник'!$A$6:$A$125,"&lt;="&amp;I25))</x:f>
      </x:c>
      <x:c r="E25" s="14" t="str">
        <x:f>IF(B25="","",SUMIFS('Дневник'!$F$6:$F$125,'Дневник'!$A$6:$A$125,"&gt;="&amp;A25,'Дневник'!$A$6:$A$125,"&lt;="&amp;I25))</x:f>
      </x:c>
      <x:c r="F25" s="14" t="str">
        <x:f>IF(B25="","",SUMIFS('Дневник'!$G$6:$G$125,'Дневник'!$A$6:$A$125,"&gt;="&amp;A25,'Дневник'!$A$6:$A$125,"&lt;="&amp;I25))</x:f>
      </x:c>
      <x:c r="G25" s="19" t="str">
        <x:f>IF(B25="","",IFERROR(SUMIFS('Дневник'!$D$6:$D$125,'Дневник'!$A$6:$A$125,"&gt;="&amp;A25,'Дневник'!$A$6:$A$125,"&lt;="&amp;I25,'Дневник'!$C$6:$C$125,"&gt;0")/COUNTIFS('Дневник'!$A$6:$A$125,"&gt;="&amp;A25,'Дневник'!$A$6:$A$125,"&lt;="&amp;I25,'Дневник'!$C$6:$C$125,"&gt;0",'Дневник'!$D$6:$D$125,"&lt;&gt;"),""))</x:f>
      </x:c>
      <x:c r="H25" s="14" t="str">
        <x:f>IF(B25="","",COUNTIFS('Дневник'!$A$6:$A$125,"&gt;="&amp;A25,'Дневник'!$A$6:$A$125,"&lt;="&amp;I25,'Дневник'!$I$6:$I$125,"&gt;0")+COUNTIFS('Дневник'!$A$6:$A$125,"&gt;="&amp;A25,'Дневник'!$A$6:$A$125,"&lt;="&amp;I25,'Дневник'!$J$6:$J$125,"&gt;0")-COUNTIFS('Дневник'!$A$6:$A$125,"&gt;="&amp;A25,'Дневник'!$A$6:$A$125,"&lt;="&amp;I25,'Дневник'!$I$6:$I$125,"&gt;0",'Дневник'!$J$6:$J$125,"&gt;0"))</x:f>
      </x:c>
      <x:c r="I25" s="12" t="n">
        <x:f>'Календарь'!B25</x:f>
        <x:v>46411</x:v>
      </x:c>
    </x:row>
    <x:row r="26" ht="28" customHeight="1">
      <x:c r="A26" s="11" t="n">
        <x:f>'Календарь'!A26</x:f>
        <x:v>46412</x:v>
      </x:c>
      <x:c r="B26" s="13" t="str">
        <x:f>IF(COUNTIFS('Дневник'!$A$6:$A$125,"&gt;="&amp;A26,'Дневник'!$A$6:$A$125,"&lt;="&amp;I26,'Дневник'!$C$6:$C$125,"&gt;0")=0,"",COUNTIFS('Дневник'!$A$6:$A$125,"&gt;="&amp;A26,'Дневник'!$A$6:$A$125,"&lt;="&amp;I26,'Дневник'!$C$6:$C$125,"&gt;0"))</x:f>
      </x:c>
      <x:c r="C26" s="13" t="str">
        <x:f>IF(B26="","",SUMIFS('Дневник'!$C$6:$C$125,'Дневник'!$A$6:$A$125,"&gt;="&amp;A26,'Дневник'!$A$6:$A$125,"&lt;="&amp;I26))</x:f>
      </x:c>
      <x:c r="D26" s="13" t="str">
        <x:f>IF(B26="","",SUMIFS('Дневник'!$E$6:$E$125,'Дневник'!$A$6:$A$125,"&gt;="&amp;A26,'Дневник'!$A$6:$A$125,"&lt;="&amp;I26))</x:f>
      </x:c>
      <x:c r="E26" s="13" t="str">
        <x:f>IF(B26="","",SUMIFS('Дневник'!$F$6:$F$125,'Дневник'!$A$6:$A$125,"&gt;="&amp;A26,'Дневник'!$A$6:$A$125,"&lt;="&amp;I26))</x:f>
      </x:c>
      <x:c r="F26" s="13" t="str">
        <x:f>IF(B26="","",SUMIFS('Дневник'!$G$6:$G$125,'Дневник'!$A$6:$A$125,"&gt;="&amp;A26,'Дневник'!$A$6:$A$125,"&lt;="&amp;I26))</x:f>
      </x:c>
      <x:c r="G26" s="18" t="str">
        <x:f>IF(B26="","",IFERROR(SUMIFS('Дневник'!$D$6:$D$125,'Дневник'!$A$6:$A$125,"&gt;="&amp;A26,'Дневник'!$A$6:$A$125,"&lt;="&amp;I26,'Дневник'!$C$6:$C$125,"&gt;0")/COUNTIFS('Дневник'!$A$6:$A$125,"&gt;="&amp;A26,'Дневник'!$A$6:$A$125,"&lt;="&amp;I26,'Дневник'!$C$6:$C$125,"&gt;0",'Дневник'!$D$6:$D$125,"&lt;&gt;"),""))</x:f>
      </x:c>
      <x:c r="H26" s="13" t="str">
        <x:f>IF(B26="","",COUNTIFS('Дневник'!$A$6:$A$125,"&gt;="&amp;A26,'Дневник'!$A$6:$A$125,"&lt;="&amp;I26,'Дневник'!$I$6:$I$125,"&gt;0")+COUNTIFS('Дневник'!$A$6:$A$125,"&gt;="&amp;A26,'Дневник'!$A$6:$A$125,"&lt;="&amp;I26,'Дневник'!$J$6:$J$125,"&gt;0")-COUNTIFS('Дневник'!$A$6:$A$125,"&gt;="&amp;A26,'Дневник'!$A$6:$A$125,"&lt;="&amp;I26,'Дневник'!$I$6:$I$125,"&gt;0",'Дневник'!$J$6:$J$125,"&gt;0"))</x:f>
      </x:c>
      <x:c r="I26" s="11" t="n">
        <x:f>'Календарь'!B26</x:f>
        <x:v>46418</x:v>
      </x:c>
    </x:row>
    <x:row r="27" ht="28" customHeight="1">
      <x:c r="A27" s="12" t="n">
        <x:f>'Календарь'!A27</x:f>
        <x:v>46419</x:v>
      </x:c>
      <x:c r="B27" s="14" t="str">
        <x:f>IF(COUNTIFS('Дневник'!$A$6:$A$125,"&gt;="&amp;A27,'Дневник'!$A$6:$A$125,"&lt;="&amp;I27,'Дневник'!$C$6:$C$125,"&gt;0")=0,"",COUNTIFS('Дневник'!$A$6:$A$125,"&gt;="&amp;A27,'Дневник'!$A$6:$A$125,"&lt;="&amp;I27,'Дневник'!$C$6:$C$125,"&gt;0"))</x:f>
      </x:c>
      <x:c r="C27" s="14" t="str">
        <x:f>IF(B27="","",SUMIFS('Дневник'!$C$6:$C$125,'Дневник'!$A$6:$A$125,"&gt;="&amp;A27,'Дневник'!$A$6:$A$125,"&lt;="&amp;I27))</x:f>
      </x:c>
      <x:c r="D27" s="14" t="str">
        <x:f>IF(B27="","",SUMIFS('Дневник'!$E$6:$E$125,'Дневник'!$A$6:$A$125,"&gt;="&amp;A27,'Дневник'!$A$6:$A$125,"&lt;="&amp;I27))</x:f>
      </x:c>
      <x:c r="E27" s="14" t="str">
        <x:f>IF(B27="","",SUMIFS('Дневник'!$F$6:$F$125,'Дневник'!$A$6:$A$125,"&gt;="&amp;A27,'Дневник'!$A$6:$A$125,"&lt;="&amp;I27))</x:f>
      </x:c>
      <x:c r="F27" s="14" t="str">
        <x:f>IF(B27="","",SUMIFS('Дневник'!$G$6:$G$125,'Дневник'!$A$6:$A$125,"&gt;="&amp;A27,'Дневник'!$A$6:$A$125,"&lt;="&amp;I27))</x:f>
      </x:c>
      <x:c r="G27" s="19" t="str">
        <x:f>IF(B27="","",IFERROR(SUMIFS('Дневник'!$D$6:$D$125,'Дневник'!$A$6:$A$125,"&gt;="&amp;A27,'Дневник'!$A$6:$A$125,"&lt;="&amp;I27,'Дневник'!$C$6:$C$125,"&gt;0")/COUNTIFS('Дневник'!$A$6:$A$125,"&gt;="&amp;A27,'Дневник'!$A$6:$A$125,"&lt;="&amp;I27,'Дневник'!$C$6:$C$125,"&gt;0",'Дневник'!$D$6:$D$125,"&lt;&gt;"),""))</x:f>
      </x:c>
      <x:c r="H27" s="14" t="str">
        <x:f>IF(B27="","",COUNTIFS('Дневник'!$A$6:$A$125,"&gt;="&amp;A27,'Дневник'!$A$6:$A$125,"&lt;="&amp;I27,'Дневник'!$I$6:$I$125,"&gt;0")+COUNTIFS('Дневник'!$A$6:$A$125,"&gt;="&amp;A27,'Дневник'!$A$6:$A$125,"&lt;="&amp;I27,'Дневник'!$J$6:$J$125,"&gt;0")-COUNTIFS('Дневник'!$A$6:$A$125,"&gt;="&amp;A27,'Дневник'!$A$6:$A$125,"&lt;="&amp;I27,'Дневник'!$I$6:$I$125,"&gt;0",'Дневник'!$J$6:$J$125,"&gt;0"))</x:f>
      </x:c>
      <x:c r="I27" s="12" t="n">
        <x:f>'Календарь'!B27</x:f>
        <x:v>46425</x:v>
      </x:c>
    </x:row>
    <x:row r="28" ht="28" customHeight="1">
      <x:c r="A28" s="11" t="n">
        <x:f>'Календарь'!A28</x:f>
        <x:v>46426</x:v>
      </x:c>
      <x:c r="B28" s="13" t="str">
        <x:f>IF(COUNTIFS('Дневник'!$A$6:$A$125,"&gt;="&amp;A28,'Дневник'!$A$6:$A$125,"&lt;="&amp;I28,'Дневник'!$C$6:$C$125,"&gt;0")=0,"",COUNTIFS('Дневник'!$A$6:$A$125,"&gt;="&amp;A28,'Дневник'!$A$6:$A$125,"&lt;="&amp;I28,'Дневник'!$C$6:$C$125,"&gt;0"))</x:f>
      </x:c>
      <x:c r="C28" s="13" t="str">
        <x:f>IF(B28="","",SUMIFS('Дневник'!$C$6:$C$125,'Дневник'!$A$6:$A$125,"&gt;="&amp;A28,'Дневник'!$A$6:$A$125,"&lt;="&amp;I28))</x:f>
      </x:c>
      <x:c r="D28" s="13" t="str">
        <x:f>IF(B28="","",SUMIFS('Дневник'!$E$6:$E$125,'Дневник'!$A$6:$A$125,"&gt;="&amp;A28,'Дневник'!$A$6:$A$125,"&lt;="&amp;I28))</x:f>
      </x:c>
      <x:c r="E28" s="13" t="str">
        <x:f>IF(B28="","",SUMIFS('Дневник'!$F$6:$F$125,'Дневник'!$A$6:$A$125,"&gt;="&amp;A28,'Дневник'!$A$6:$A$125,"&lt;="&amp;I28))</x:f>
      </x:c>
      <x:c r="F28" s="13" t="str">
        <x:f>IF(B28="","",SUMIFS('Дневник'!$G$6:$G$125,'Дневник'!$A$6:$A$125,"&gt;="&amp;A28,'Дневник'!$A$6:$A$125,"&lt;="&amp;I28))</x:f>
      </x:c>
      <x:c r="G28" s="18" t="str">
        <x:f>IF(B28="","",IFERROR(SUMIFS('Дневник'!$D$6:$D$125,'Дневник'!$A$6:$A$125,"&gt;="&amp;A28,'Дневник'!$A$6:$A$125,"&lt;="&amp;I28,'Дневник'!$C$6:$C$125,"&gt;0")/COUNTIFS('Дневник'!$A$6:$A$125,"&gt;="&amp;A28,'Дневник'!$A$6:$A$125,"&lt;="&amp;I28,'Дневник'!$C$6:$C$125,"&gt;0",'Дневник'!$D$6:$D$125,"&lt;&gt;"),""))</x:f>
      </x:c>
      <x:c r="H28" s="13" t="str">
        <x:f>IF(B28="","",COUNTIFS('Дневник'!$A$6:$A$125,"&gt;="&amp;A28,'Дневник'!$A$6:$A$125,"&lt;="&amp;I28,'Дневник'!$I$6:$I$125,"&gt;0")+COUNTIFS('Дневник'!$A$6:$A$125,"&gt;="&amp;A28,'Дневник'!$A$6:$A$125,"&lt;="&amp;I28,'Дневник'!$J$6:$J$125,"&gt;0")-COUNTIFS('Дневник'!$A$6:$A$125,"&gt;="&amp;A28,'Дневник'!$A$6:$A$125,"&lt;="&amp;I28,'Дневник'!$I$6:$I$125,"&gt;0",'Дневник'!$J$6:$J$125,"&gt;0"))</x:f>
      </x:c>
      <x:c r="I28" s="11" t="n">
        <x:f>'Календарь'!B28</x:f>
        <x:v>46432</x:v>
      </x:c>
    </x:row>
    <x:row r="29" ht="28" customHeight="1">
      <x:c r="A29" s="12" t="n">
        <x:f>'Календарь'!A29</x:f>
        <x:v>46433</x:v>
      </x:c>
      <x:c r="B29" s="14" t="str">
        <x:f>IF(COUNTIFS('Дневник'!$A$6:$A$125,"&gt;="&amp;A29,'Дневник'!$A$6:$A$125,"&lt;="&amp;I29,'Дневник'!$C$6:$C$125,"&gt;0")=0,"",COUNTIFS('Дневник'!$A$6:$A$125,"&gt;="&amp;A29,'Дневник'!$A$6:$A$125,"&lt;="&amp;I29,'Дневник'!$C$6:$C$125,"&gt;0"))</x:f>
      </x:c>
      <x:c r="C29" s="14" t="str">
        <x:f>IF(B29="","",SUMIFS('Дневник'!$C$6:$C$125,'Дневник'!$A$6:$A$125,"&gt;="&amp;A29,'Дневник'!$A$6:$A$125,"&lt;="&amp;I29))</x:f>
      </x:c>
      <x:c r="D29" s="14" t="str">
        <x:f>IF(B29="","",SUMIFS('Дневник'!$E$6:$E$125,'Дневник'!$A$6:$A$125,"&gt;="&amp;A29,'Дневник'!$A$6:$A$125,"&lt;="&amp;I29))</x:f>
      </x:c>
      <x:c r="E29" s="14" t="str">
        <x:f>IF(B29="","",SUMIFS('Дневник'!$F$6:$F$125,'Дневник'!$A$6:$A$125,"&gt;="&amp;A29,'Дневник'!$A$6:$A$125,"&lt;="&amp;I29))</x:f>
      </x:c>
      <x:c r="F29" s="14" t="str">
        <x:f>IF(B29="","",SUMIFS('Дневник'!$G$6:$G$125,'Дневник'!$A$6:$A$125,"&gt;="&amp;A29,'Дневник'!$A$6:$A$125,"&lt;="&amp;I29))</x:f>
      </x:c>
      <x:c r="G29" s="19" t="str">
        <x:f>IF(B29="","",IFERROR(SUMIFS('Дневник'!$D$6:$D$125,'Дневник'!$A$6:$A$125,"&gt;="&amp;A29,'Дневник'!$A$6:$A$125,"&lt;="&amp;I29,'Дневник'!$C$6:$C$125,"&gt;0")/COUNTIFS('Дневник'!$A$6:$A$125,"&gt;="&amp;A29,'Дневник'!$A$6:$A$125,"&lt;="&amp;I29,'Дневник'!$C$6:$C$125,"&gt;0",'Дневник'!$D$6:$D$125,"&lt;&gt;"),""))</x:f>
      </x:c>
      <x:c r="H29" s="14" t="str">
        <x:f>IF(B29="","",COUNTIFS('Дневник'!$A$6:$A$125,"&gt;="&amp;A29,'Дневник'!$A$6:$A$125,"&lt;="&amp;I29,'Дневник'!$I$6:$I$125,"&gt;0")+COUNTIFS('Дневник'!$A$6:$A$125,"&gt;="&amp;A29,'Дневник'!$A$6:$A$125,"&lt;="&amp;I29,'Дневник'!$J$6:$J$125,"&gt;0")-COUNTIFS('Дневник'!$A$6:$A$125,"&gt;="&amp;A29,'Дневник'!$A$6:$A$125,"&lt;="&amp;I29,'Дневник'!$I$6:$I$125,"&gt;0",'Дневник'!$J$6:$J$125,"&gt;0"))</x:f>
      </x:c>
      <x:c r="I29" s="12" t="n">
        <x:f>'Календарь'!B29</x:f>
        <x:v>46439</x:v>
      </x:c>
    </x:row>
    <x:row r="30" ht="28" customHeight="1">
      <x:c r="A30" s="11" t="n">
        <x:f>'Календарь'!A30</x:f>
        <x:v>46440</x:v>
      </x:c>
      <x:c r="B30" s="13" t="str">
        <x:f>IF(COUNTIFS('Дневник'!$A$6:$A$125,"&gt;="&amp;A30,'Дневник'!$A$6:$A$125,"&lt;="&amp;I30,'Дневник'!$C$6:$C$125,"&gt;0")=0,"",COUNTIFS('Дневник'!$A$6:$A$125,"&gt;="&amp;A30,'Дневник'!$A$6:$A$125,"&lt;="&amp;I30,'Дневник'!$C$6:$C$125,"&gt;0"))</x:f>
      </x:c>
      <x:c r="C30" s="13" t="str">
        <x:f>IF(B30="","",SUMIFS('Дневник'!$C$6:$C$125,'Дневник'!$A$6:$A$125,"&gt;="&amp;A30,'Дневник'!$A$6:$A$125,"&lt;="&amp;I30))</x:f>
      </x:c>
      <x:c r="D30" s="13" t="str">
        <x:f>IF(B30="","",SUMIFS('Дневник'!$E$6:$E$125,'Дневник'!$A$6:$A$125,"&gt;="&amp;A30,'Дневник'!$A$6:$A$125,"&lt;="&amp;I30))</x:f>
      </x:c>
      <x:c r="E30" s="13" t="str">
        <x:f>IF(B30="","",SUMIFS('Дневник'!$F$6:$F$125,'Дневник'!$A$6:$A$125,"&gt;="&amp;A30,'Дневник'!$A$6:$A$125,"&lt;="&amp;I30))</x:f>
      </x:c>
      <x:c r="F30" s="13" t="str">
        <x:f>IF(B30="","",SUMIFS('Дневник'!$G$6:$G$125,'Дневник'!$A$6:$A$125,"&gt;="&amp;A30,'Дневник'!$A$6:$A$125,"&lt;="&amp;I30))</x:f>
      </x:c>
      <x:c r="G30" s="18" t="str">
        <x:f>IF(B30="","",IFERROR(SUMIFS('Дневник'!$D$6:$D$125,'Дневник'!$A$6:$A$125,"&gt;="&amp;A30,'Дневник'!$A$6:$A$125,"&lt;="&amp;I30,'Дневник'!$C$6:$C$125,"&gt;0")/COUNTIFS('Дневник'!$A$6:$A$125,"&gt;="&amp;A30,'Дневник'!$A$6:$A$125,"&lt;="&amp;I30,'Дневник'!$C$6:$C$125,"&gt;0",'Дневник'!$D$6:$D$125,"&lt;&gt;"),""))</x:f>
      </x:c>
      <x:c r="H30" s="13" t="str">
        <x:f>IF(B30="","",COUNTIFS('Дневник'!$A$6:$A$125,"&gt;="&amp;A30,'Дневник'!$A$6:$A$125,"&lt;="&amp;I30,'Дневник'!$I$6:$I$125,"&gt;0")+COUNTIFS('Дневник'!$A$6:$A$125,"&gt;="&amp;A30,'Дневник'!$A$6:$A$125,"&lt;="&amp;I30,'Дневник'!$J$6:$J$125,"&gt;0")-COUNTIFS('Дневник'!$A$6:$A$125,"&gt;="&amp;A30,'Дневник'!$A$6:$A$125,"&lt;="&amp;I30,'Дневник'!$I$6:$I$125,"&gt;0",'Дневник'!$J$6:$J$125,"&gt;0"))</x:f>
      </x:c>
      <x:c r="I30" s="11" t="n">
        <x:f>'Календарь'!B30</x:f>
        <x:v>46446</x:v>
      </x:c>
    </x:row>
    <x:row r="31" ht="28" customHeight="1">
      <x:c r="A31" s="12" t="n">
        <x:f>'Календарь'!A31</x:f>
        <x:v>46447</x:v>
      </x:c>
      <x:c r="B31" s="14" t="str">
        <x:f>IF(COUNTIFS('Дневник'!$A$6:$A$125,"&gt;="&amp;A31,'Дневник'!$A$6:$A$125,"&lt;="&amp;I31,'Дневник'!$C$6:$C$125,"&gt;0")=0,"",COUNTIFS('Дневник'!$A$6:$A$125,"&gt;="&amp;A31,'Дневник'!$A$6:$A$125,"&lt;="&amp;I31,'Дневник'!$C$6:$C$125,"&gt;0"))</x:f>
      </x:c>
      <x:c r="C31" s="14" t="str">
        <x:f>IF(B31="","",SUMIFS('Дневник'!$C$6:$C$125,'Дневник'!$A$6:$A$125,"&gt;="&amp;A31,'Дневник'!$A$6:$A$125,"&lt;="&amp;I31))</x:f>
      </x:c>
      <x:c r="D31" s="14" t="str">
        <x:f>IF(B31="","",SUMIFS('Дневник'!$E$6:$E$125,'Дневник'!$A$6:$A$125,"&gt;="&amp;A31,'Дневник'!$A$6:$A$125,"&lt;="&amp;I31))</x:f>
      </x:c>
      <x:c r="E31" s="14" t="str">
        <x:f>IF(B31="","",SUMIFS('Дневник'!$F$6:$F$125,'Дневник'!$A$6:$A$125,"&gt;="&amp;A31,'Дневник'!$A$6:$A$125,"&lt;="&amp;I31))</x:f>
      </x:c>
      <x:c r="F31" s="14" t="str">
        <x:f>IF(B31="","",SUMIFS('Дневник'!$G$6:$G$125,'Дневник'!$A$6:$A$125,"&gt;="&amp;A31,'Дневник'!$A$6:$A$125,"&lt;="&amp;I31))</x:f>
      </x:c>
      <x:c r="G31" s="19" t="str">
        <x:f>IF(B31="","",IFERROR(SUMIFS('Дневник'!$D$6:$D$125,'Дневник'!$A$6:$A$125,"&gt;="&amp;A31,'Дневник'!$A$6:$A$125,"&lt;="&amp;I31,'Дневник'!$C$6:$C$125,"&gt;0")/COUNTIFS('Дневник'!$A$6:$A$125,"&gt;="&amp;A31,'Дневник'!$A$6:$A$125,"&lt;="&amp;I31,'Дневник'!$C$6:$C$125,"&gt;0",'Дневник'!$D$6:$D$125,"&lt;&gt;"),""))</x:f>
      </x:c>
      <x:c r="H31" s="14" t="str">
        <x:f>IF(B31="","",COUNTIFS('Дневник'!$A$6:$A$125,"&gt;="&amp;A31,'Дневник'!$A$6:$A$125,"&lt;="&amp;I31,'Дневник'!$I$6:$I$125,"&gt;0")+COUNTIFS('Дневник'!$A$6:$A$125,"&gt;="&amp;A31,'Дневник'!$A$6:$A$125,"&lt;="&amp;I31,'Дневник'!$J$6:$J$125,"&gt;0")-COUNTIFS('Дневник'!$A$6:$A$125,"&gt;="&amp;A31,'Дневник'!$A$6:$A$125,"&lt;="&amp;I31,'Дневник'!$I$6:$I$125,"&gt;0",'Дневник'!$J$6:$J$125,"&gt;0"))</x:f>
      </x:c>
      <x:c r="I31" s="12" t="n">
        <x:f>'Календарь'!B31</x:f>
        <x:v>46453</x:v>
      </x:c>
    </x:row>
    <x:row r="32" ht="28" customHeight="1">
      <x:c r="A32" s="11" t="n">
        <x:f>'Календарь'!A32</x:f>
        <x:v>46454</x:v>
      </x:c>
      <x:c r="B32" s="13" t="str">
        <x:f>IF(COUNTIFS('Дневник'!$A$6:$A$125,"&gt;="&amp;A32,'Дневник'!$A$6:$A$125,"&lt;="&amp;I32,'Дневник'!$C$6:$C$125,"&gt;0")=0,"",COUNTIFS('Дневник'!$A$6:$A$125,"&gt;="&amp;A32,'Дневник'!$A$6:$A$125,"&lt;="&amp;I32,'Дневник'!$C$6:$C$125,"&gt;0"))</x:f>
      </x:c>
      <x:c r="C32" s="13" t="str">
        <x:f>IF(B32="","",SUMIFS('Дневник'!$C$6:$C$125,'Дневник'!$A$6:$A$125,"&gt;="&amp;A32,'Дневник'!$A$6:$A$125,"&lt;="&amp;I32))</x:f>
      </x:c>
      <x:c r="D32" s="13" t="str">
        <x:f>IF(B32="","",SUMIFS('Дневник'!$E$6:$E$125,'Дневник'!$A$6:$A$125,"&gt;="&amp;A32,'Дневник'!$A$6:$A$125,"&lt;="&amp;I32))</x:f>
      </x:c>
      <x:c r="E32" s="13" t="str">
        <x:f>IF(B32="","",SUMIFS('Дневник'!$F$6:$F$125,'Дневник'!$A$6:$A$125,"&gt;="&amp;A32,'Дневник'!$A$6:$A$125,"&lt;="&amp;I32))</x:f>
      </x:c>
      <x:c r="F32" s="13" t="str">
        <x:f>IF(B32="","",SUMIFS('Дневник'!$G$6:$G$125,'Дневник'!$A$6:$A$125,"&gt;="&amp;A32,'Дневник'!$A$6:$A$125,"&lt;="&amp;I32))</x:f>
      </x:c>
      <x:c r="G32" s="18" t="str">
        <x:f>IF(B32="","",IFERROR(SUMIFS('Дневник'!$D$6:$D$125,'Дневник'!$A$6:$A$125,"&gt;="&amp;A32,'Дневник'!$A$6:$A$125,"&lt;="&amp;I32,'Дневник'!$C$6:$C$125,"&gt;0")/COUNTIFS('Дневник'!$A$6:$A$125,"&gt;="&amp;A32,'Дневник'!$A$6:$A$125,"&lt;="&amp;I32,'Дневник'!$C$6:$C$125,"&gt;0",'Дневник'!$D$6:$D$125,"&lt;&gt;"),""))</x:f>
      </x:c>
      <x:c r="H32" s="13" t="str">
        <x:f>IF(B32="","",COUNTIFS('Дневник'!$A$6:$A$125,"&gt;="&amp;A32,'Дневник'!$A$6:$A$125,"&lt;="&amp;I32,'Дневник'!$I$6:$I$125,"&gt;0")+COUNTIFS('Дневник'!$A$6:$A$125,"&gt;="&amp;A32,'Дневник'!$A$6:$A$125,"&lt;="&amp;I32,'Дневник'!$J$6:$J$125,"&gt;0")-COUNTIFS('Дневник'!$A$6:$A$125,"&gt;="&amp;A32,'Дневник'!$A$6:$A$125,"&lt;="&amp;I32,'Дневник'!$I$6:$I$125,"&gt;0",'Дневник'!$J$6:$J$125,"&gt;0"))</x:f>
      </x:c>
      <x:c r="I32" s="11" t="n">
        <x:f>'Календарь'!B32</x:f>
        <x:v>46460</x:v>
      </x:c>
    </x:row>
    <x:row r="33" ht="28" customHeight="1">
      <x:c r="A33" s="12" t="n">
        <x:f>'Календарь'!A33</x:f>
        <x:v>46461</x:v>
      </x:c>
      <x:c r="B33" s="14" t="str">
        <x:f>IF(COUNTIFS('Дневник'!$A$6:$A$125,"&gt;="&amp;A33,'Дневник'!$A$6:$A$125,"&lt;="&amp;I33,'Дневник'!$C$6:$C$125,"&gt;0")=0,"",COUNTIFS('Дневник'!$A$6:$A$125,"&gt;="&amp;A33,'Дневник'!$A$6:$A$125,"&lt;="&amp;I33,'Дневник'!$C$6:$C$125,"&gt;0"))</x:f>
      </x:c>
      <x:c r="C33" s="14" t="str">
        <x:f>IF(B33="","",SUMIFS('Дневник'!$C$6:$C$125,'Дневник'!$A$6:$A$125,"&gt;="&amp;A33,'Дневник'!$A$6:$A$125,"&lt;="&amp;I33))</x:f>
      </x:c>
      <x:c r="D33" s="14" t="str">
        <x:f>IF(B33="","",SUMIFS('Дневник'!$E$6:$E$125,'Дневник'!$A$6:$A$125,"&gt;="&amp;A33,'Дневник'!$A$6:$A$125,"&lt;="&amp;I33))</x:f>
      </x:c>
      <x:c r="E33" s="14" t="str">
        <x:f>IF(B33="","",SUMIFS('Дневник'!$F$6:$F$125,'Дневник'!$A$6:$A$125,"&gt;="&amp;A33,'Дневник'!$A$6:$A$125,"&lt;="&amp;I33))</x:f>
      </x:c>
      <x:c r="F33" s="14" t="str">
        <x:f>IF(B33="","",SUMIFS('Дневник'!$G$6:$G$125,'Дневник'!$A$6:$A$125,"&gt;="&amp;A33,'Дневник'!$A$6:$A$125,"&lt;="&amp;I33))</x:f>
      </x:c>
      <x:c r="G33" s="19" t="str">
        <x:f>IF(B33="","",IFERROR(SUMIFS('Дневник'!$D$6:$D$125,'Дневник'!$A$6:$A$125,"&gt;="&amp;A33,'Дневник'!$A$6:$A$125,"&lt;="&amp;I33,'Дневник'!$C$6:$C$125,"&gt;0")/COUNTIFS('Дневник'!$A$6:$A$125,"&gt;="&amp;A33,'Дневник'!$A$6:$A$125,"&lt;="&amp;I33,'Дневник'!$C$6:$C$125,"&gt;0",'Дневник'!$D$6:$D$125,"&lt;&gt;"),""))</x:f>
      </x:c>
      <x:c r="H33" s="14" t="str">
        <x:f>IF(B33="","",COUNTIFS('Дневник'!$A$6:$A$125,"&gt;="&amp;A33,'Дневник'!$A$6:$A$125,"&lt;="&amp;I33,'Дневник'!$I$6:$I$125,"&gt;0")+COUNTIFS('Дневник'!$A$6:$A$125,"&gt;="&amp;A33,'Дневник'!$A$6:$A$125,"&lt;="&amp;I33,'Дневник'!$J$6:$J$125,"&gt;0")-COUNTIFS('Дневник'!$A$6:$A$125,"&gt;="&amp;A33,'Дневник'!$A$6:$A$125,"&lt;="&amp;I33,'Дневник'!$I$6:$I$125,"&gt;0",'Дневник'!$J$6:$J$125,"&gt;0"))</x:f>
      </x:c>
      <x:c r="I33" s="12" t="n">
        <x:f>'Календарь'!B33</x:f>
        <x:v>46467</x:v>
      </x:c>
    </x:row>
    <x:row r="34" ht="28" customHeight="1">
      <x:c r="A34" s="11" t="n">
        <x:f>'Календарь'!A34</x:f>
        <x:v>46468</x:v>
      </x:c>
      <x:c r="B34" s="13" t="str">
        <x:f>IF(COUNTIFS('Дневник'!$A$6:$A$125,"&gt;="&amp;A34,'Дневник'!$A$6:$A$125,"&lt;="&amp;I34,'Дневник'!$C$6:$C$125,"&gt;0")=0,"",COUNTIFS('Дневник'!$A$6:$A$125,"&gt;="&amp;A34,'Дневник'!$A$6:$A$125,"&lt;="&amp;I34,'Дневник'!$C$6:$C$125,"&gt;0"))</x:f>
      </x:c>
      <x:c r="C34" s="13" t="str">
        <x:f>IF(B34="","",SUMIFS('Дневник'!$C$6:$C$125,'Дневник'!$A$6:$A$125,"&gt;="&amp;A34,'Дневник'!$A$6:$A$125,"&lt;="&amp;I34))</x:f>
      </x:c>
      <x:c r="D34" s="13" t="str">
        <x:f>IF(B34="","",SUMIFS('Дневник'!$E$6:$E$125,'Дневник'!$A$6:$A$125,"&gt;="&amp;A34,'Дневник'!$A$6:$A$125,"&lt;="&amp;I34))</x:f>
      </x:c>
      <x:c r="E34" s="13" t="str">
        <x:f>IF(B34="","",SUMIFS('Дневник'!$F$6:$F$125,'Дневник'!$A$6:$A$125,"&gt;="&amp;A34,'Дневник'!$A$6:$A$125,"&lt;="&amp;I34))</x:f>
      </x:c>
      <x:c r="F34" s="13" t="str">
        <x:f>IF(B34="","",SUMIFS('Дневник'!$G$6:$G$125,'Дневник'!$A$6:$A$125,"&gt;="&amp;A34,'Дневник'!$A$6:$A$125,"&lt;="&amp;I34))</x:f>
      </x:c>
      <x:c r="G34" s="18" t="str">
        <x:f>IF(B34="","",IFERROR(SUMIFS('Дневник'!$D$6:$D$125,'Дневник'!$A$6:$A$125,"&gt;="&amp;A34,'Дневник'!$A$6:$A$125,"&lt;="&amp;I34,'Дневник'!$C$6:$C$125,"&gt;0")/COUNTIFS('Дневник'!$A$6:$A$125,"&gt;="&amp;A34,'Дневник'!$A$6:$A$125,"&lt;="&amp;I34,'Дневник'!$C$6:$C$125,"&gt;0",'Дневник'!$D$6:$D$125,"&lt;&gt;"),""))</x:f>
      </x:c>
      <x:c r="H34" s="13" t="str">
        <x:f>IF(B34="","",COUNTIFS('Дневник'!$A$6:$A$125,"&gt;="&amp;A34,'Дневник'!$A$6:$A$125,"&lt;="&amp;I34,'Дневник'!$I$6:$I$125,"&gt;0")+COUNTIFS('Дневник'!$A$6:$A$125,"&gt;="&amp;A34,'Дневник'!$A$6:$A$125,"&lt;="&amp;I34,'Дневник'!$J$6:$J$125,"&gt;0")-COUNTIFS('Дневник'!$A$6:$A$125,"&gt;="&amp;A34,'Дневник'!$A$6:$A$125,"&lt;="&amp;I34,'Дневник'!$I$6:$I$125,"&gt;0",'Дневник'!$J$6:$J$125,"&gt;0"))</x:f>
      </x:c>
      <x:c r="I34" s="11" t="n">
        <x:f>'Календарь'!B34</x:f>
        <x:v>46474</x:v>
      </x:c>
    </x:row>
    <x:row r="35" ht="28" customHeight="1">
      <x:c r="A35" s="12" t="n">
        <x:f>'Календарь'!A35</x:f>
        <x:v>46475</x:v>
      </x:c>
      <x:c r="B35" s="14" t="str">
        <x:f>IF(COUNTIFS('Дневник'!$A$6:$A$125,"&gt;="&amp;A35,'Дневник'!$A$6:$A$125,"&lt;="&amp;I35,'Дневник'!$C$6:$C$125,"&gt;0")=0,"",COUNTIFS('Дневник'!$A$6:$A$125,"&gt;="&amp;A35,'Дневник'!$A$6:$A$125,"&lt;="&amp;I35,'Дневник'!$C$6:$C$125,"&gt;0"))</x:f>
      </x:c>
      <x:c r="C35" s="14" t="str">
        <x:f>IF(B35="","",SUMIFS('Дневник'!$C$6:$C$125,'Дневник'!$A$6:$A$125,"&gt;="&amp;A35,'Дневник'!$A$6:$A$125,"&lt;="&amp;I35))</x:f>
      </x:c>
      <x:c r="D35" s="14" t="str">
        <x:f>IF(B35="","",SUMIFS('Дневник'!$E$6:$E$125,'Дневник'!$A$6:$A$125,"&gt;="&amp;A35,'Дневник'!$A$6:$A$125,"&lt;="&amp;I35))</x:f>
      </x:c>
      <x:c r="E35" s="14" t="str">
        <x:f>IF(B35="","",SUMIFS('Дневник'!$F$6:$F$125,'Дневник'!$A$6:$A$125,"&gt;="&amp;A35,'Дневник'!$A$6:$A$125,"&lt;="&amp;I35))</x:f>
      </x:c>
      <x:c r="F35" s="14" t="str">
        <x:f>IF(B35="","",SUMIFS('Дневник'!$G$6:$G$125,'Дневник'!$A$6:$A$125,"&gt;="&amp;A35,'Дневник'!$A$6:$A$125,"&lt;="&amp;I35))</x:f>
      </x:c>
      <x:c r="G35" s="19" t="str">
        <x:f>IF(B35="","",IFERROR(SUMIFS('Дневник'!$D$6:$D$125,'Дневник'!$A$6:$A$125,"&gt;="&amp;A35,'Дневник'!$A$6:$A$125,"&lt;="&amp;I35,'Дневник'!$C$6:$C$125,"&gt;0")/COUNTIFS('Дневник'!$A$6:$A$125,"&gt;="&amp;A35,'Дневник'!$A$6:$A$125,"&lt;="&amp;I35,'Дневник'!$C$6:$C$125,"&gt;0",'Дневник'!$D$6:$D$125,"&lt;&gt;"),""))</x:f>
      </x:c>
      <x:c r="H35" s="14" t="str">
        <x:f>IF(B35="","",COUNTIFS('Дневник'!$A$6:$A$125,"&gt;="&amp;A35,'Дневник'!$A$6:$A$125,"&lt;="&amp;I35,'Дневник'!$I$6:$I$125,"&gt;0")+COUNTIFS('Дневник'!$A$6:$A$125,"&gt;="&amp;A35,'Дневник'!$A$6:$A$125,"&lt;="&amp;I35,'Дневник'!$J$6:$J$125,"&gt;0")-COUNTIFS('Дневник'!$A$6:$A$125,"&gt;="&amp;A35,'Дневник'!$A$6:$A$125,"&lt;="&amp;I35,'Дневник'!$I$6:$I$125,"&gt;0",'Дневник'!$J$6:$J$125,"&gt;0"))</x:f>
      </x:c>
      <x:c r="I35" s="12" t="n">
        <x:f>'Календарь'!B35</x:f>
        <x:v>46481</x:v>
      </x:c>
    </x:row>
    <x:row r="36" ht="28" customHeight="1">
      <x:c r="A36" s="11" t="n">
        <x:f>'Календарь'!A36</x:f>
        <x:v>46482</x:v>
      </x:c>
      <x:c r="B36" s="13" t="str">
        <x:f>IF(COUNTIFS('Дневник'!$A$6:$A$125,"&gt;="&amp;A36,'Дневник'!$A$6:$A$125,"&lt;="&amp;I36,'Дневник'!$C$6:$C$125,"&gt;0")=0,"",COUNTIFS('Дневник'!$A$6:$A$125,"&gt;="&amp;A36,'Дневник'!$A$6:$A$125,"&lt;="&amp;I36,'Дневник'!$C$6:$C$125,"&gt;0"))</x:f>
      </x:c>
      <x:c r="C36" s="13" t="str">
        <x:f>IF(B36="","",SUMIFS('Дневник'!$C$6:$C$125,'Дневник'!$A$6:$A$125,"&gt;="&amp;A36,'Дневник'!$A$6:$A$125,"&lt;="&amp;I36))</x:f>
      </x:c>
      <x:c r="D36" s="13" t="str">
        <x:f>IF(B36="","",SUMIFS('Дневник'!$E$6:$E$125,'Дневник'!$A$6:$A$125,"&gt;="&amp;A36,'Дневник'!$A$6:$A$125,"&lt;="&amp;I36))</x:f>
      </x:c>
      <x:c r="E36" s="13" t="str">
        <x:f>IF(B36="","",SUMIFS('Дневник'!$F$6:$F$125,'Дневник'!$A$6:$A$125,"&gt;="&amp;A36,'Дневник'!$A$6:$A$125,"&lt;="&amp;I36))</x:f>
      </x:c>
      <x:c r="F36" s="13" t="str">
        <x:f>IF(B36="","",SUMIFS('Дневник'!$G$6:$G$125,'Дневник'!$A$6:$A$125,"&gt;="&amp;A36,'Дневник'!$A$6:$A$125,"&lt;="&amp;I36))</x:f>
      </x:c>
      <x:c r="G36" s="18" t="str">
        <x:f>IF(B36="","",IFERROR(SUMIFS('Дневник'!$D$6:$D$125,'Дневник'!$A$6:$A$125,"&gt;="&amp;A36,'Дневник'!$A$6:$A$125,"&lt;="&amp;I36,'Дневник'!$C$6:$C$125,"&gt;0")/COUNTIFS('Дневник'!$A$6:$A$125,"&gt;="&amp;A36,'Дневник'!$A$6:$A$125,"&lt;="&amp;I36,'Дневник'!$C$6:$C$125,"&gt;0",'Дневник'!$D$6:$D$125,"&lt;&gt;"),""))</x:f>
      </x:c>
      <x:c r="H36" s="13" t="str">
        <x:f>IF(B36="","",COUNTIFS('Дневник'!$A$6:$A$125,"&gt;="&amp;A36,'Дневник'!$A$6:$A$125,"&lt;="&amp;I36,'Дневник'!$I$6:$I$125,"&gt;0")+COUNTIFS('Дневник'!$A$6:$A$125,"&gt;="&amp;A36,'Дневник'!$A$6:$A$125,"&lt;="&amp;I36,'Дневник'!$J$6:$J$125,"&gt;0")-COUNTIFS('Дневник'!$A$6:$A$125,"&gt;="&amp;A36,'Дневник'!$A$6:$A$125,"&lt;="&amp;I36,'Дневник'!$I$6:$I$125,"&gt;0",'Дневник'!$J$6:$J$125,"&gt;0"))</x:f>
      </x:c>
      <x:c r="I36" s="11" t="n">
        <x:f>'Календарь'!B36</x:f>
        <x:v>46488</x:v>
      </x:c>
    </x:row>
    <x:row r="37" ht="28" customHeight="1">
      <x:c r="A37" s="12" t="n">
        <x:f>'Календарь'!A37</x:f>
        <x:v>46489</x:v>
      </x:c>
      <x:c r="B37" s="14" t="str">
        <x:f>IF(COUNTIFS('Дневник'!$A$6:$A$125,"&gt;="&amp;A37,'Дневник'!$A$6:$A$125,"&lt;="&amp;I37,'Дневник'!$C$6:$C$125,"&gt;0")=0,"",COUNTIFS('Дневник'!$A$6:$A$125,"&gt;="&amp;A37,'Дневник'!$A$6:$A$125,"&lt;="&amp;I37,'Дневник'!$C$6:$C$125,"&gt;0"))</x:f>
      </x:c>
      <x:c r="C37" s="14" t="str">
        <x:f>IF(B37="","",SUMIFS('Дневник'!$C$6:$C$125,'Дневник'!$A$6:$A$125,"&gt;="&amp;A37,'Дневник'!$A$6:$A$125,"&lt;="&amp;I37))</x:f>
      </x:c>
      <x:c r="D37" s="14" t="str">
        <x:f>IF(B37="","",SUMIFS('Дневник'!$E$6:$E$125,'Дневник'!$A$6:$A$125,"&gt;="&amp;A37,'Дневник'!$A$6:$A$125,"&lt;="&amp;I37))</x:f>
      </x:c>
      <x:c r="E37" s="14" t="str">
        <x:f>IF(B37="","",SUMIFS('Дневник'!$F$6:$F$125,'Дневник'!$A$6:$A$125,"&gt;="&amp;A37,'Дневник'!$A$6:$A$125,"&lt;="&amp;I37))</x:f>
      </x:c>
      <x:c r="F37" s="14" t="str">
        <x:f>IF(B37="","",SUMIFS('Дневник'!$G$6:$G$125,'Дневник'!$A$6:$A$125,"&gt;="&amp;A37,'Дневник'!$A$6:$A$125,"&lt;="&amp;I37))</x:f>
      </x:c>
      <x:c r="G37" s="19" t="str">
        <x:f>IF(B37="","",IFERROR(SUMIFS('Дневник'!$D$6:$D$125,'Дневник'!$A$6:$A$125,"&gt;="&amp;A37,'Дневник'!$A$6:$A$125,"&lt;="&amp;I37,'Дневник'!$C$6:$C$125,"&gt;0")/COUNTIFS('Дневник'!$A$6:$A$125,"&gt;="&amp;A37,'Дневник'!$A$6:$A$125,"&lt;="&amp;I37,'Дневник'!$C$6:$C$125,"&gt;0",'Дневник'!$D$6:$D$125,"&lt;&gt;"),""))</x:f>
      </x:c>
      <x:c r="H37" s="14" t="str">
        <x:f>IF(B37="","",COUNTIFS('Дневник'!$A$6:$A$125,"&gt;="&amp;A37,'Дневник'!$A$6:$A$125,"&lt;="&amp;I37,'Дневник'!$I$6:$I$125,"&gt;0")+COUNTIFS('Дневник'!$A$6:$A$125,"&gt;="&amp;A37,'Дневник'!$A$6:$A$125,"&lt;="&amp;I37,'Дневник'!$J$6:$J$125,"&gt;0")-COUNTIFS('Дневник'!$A$6:$A$125,"&gt;="&amp;A37,'Дневник'!$A$6:$A$125,"&lt;="&amp;I37,'Дневник'!$I$6:$I$125,"&gt;0",'Дневник'!$J$6:$J$125,"&gt;0"))</x:f>
      </x:c>
      <x:c r="I37" s="12" t="n">
        <x:f>'Календарь'!B37</x:f>
        <x:v>46495</x:v>
      </x:c>
    </x:row>
    <x:row r="38" ht="28" customHeight="1">
      <x:c r="A38" s="11" t="n">
        <x:f>'Календарь'!A38</x:f>
        <x:v>46496</x:v>
      </x:c>
      <x:c r="B38" s="13" t="str">
        <x:f>IF(COUNTIFS('Дневник'!$A$6:$A$125,"&gt;="&amp;A38,'Дневник'!$A$6:$A$125,"&lt;="&amp;I38,'Дневник'!$C$6:$C$125,"&gt;0")=0,"",COUNTIFS('Дневник'!$A$6:$A$125,"&gt;="&amp;A38,'Дневник'!$A$6:$A$125,"&lt;="&amp;I38,'Дневник'!$C$6:$C$125,"&gt;0"))</x:f>
      </x:c>
      <x:c r="C38" s="13" t="str">
        <x:f>IF(B38="","",SUMIFS('Дневник'!$C$6:$C$125,'Дневник'!$A$6:$A$125,"&gt;="&amp;A38,'Дневник'!$A$6:$A$125,"&lt;="&amp;I38))</x:f>
      </x:c>
      <x:c r="D38" s="13" t="str">
        <x:f>IF(B38="","",SUMIFS('Дневник'!$E$6:$E$125,'Дневник'!$A$6:$A$125,"&gt;="&amp;A38,'Дневник'!$A$6:$A$125,"&lt;="&amp;I38))</x:f>
      </x:c>
      <x:c r="E38" s="13" t="str">
        <x:f>IF(B38="","",SUMIFS('Дневник'!$F$6:$F$125,'Дневник'!$A$6:$A$125,"&gt;="&amp;A38,'Дневник'!$A$6:$A$125,"&lt;="&amp;I38))</x:f>
      </x:c>
      <x:c r="F38" s="13" t="str">
        <x:f>IF(B38="","",SUMIFS('Дневник'!$G$6:$G$125,'Дневник'!$A$6:$A$125,"&gt;="&amp;A38,'Дневник'!$A$6:$A$125,"&lt;="&amp;I38))</x:f>
      </x:c>
      <x:c r="G38" s="18" t="str">
        <x:f>IF(B38="","",IFERROR(SUMIFS('Дневник'!$D$6:$D$125,'Дневник'!$A$6:$A$125,"&gt;="&amp;A38,'Дневник'!$A$6:$A$125,"&lt;="&amp;I38,'Дневник'!$C$6:$C$125,"&gt;0")/COUNTIFS('Дневник'!$A$6:$A$125,"&gt;="&amp;A38,'Дневник'!$A$6:$A$125,"&lt;="&amp;I38,'Дневник'!$C$6:$C$125,"&gt;0",'Дневник'!$D$6:$D$125,"&lt;&gt;"),""))</x:f>
      </x:c>
      <x:c r="H38" s="13" t="str">
        <x:f>IF(B38="","",COUNTIFS('Дневник'!$A$6:$A$125,"&gt;="&amp;A38,'Дневник'!$A$6:$A$125,"&lt;="&amp;I38,'Дневник'!$I$6:$I$125,"&gt;0")+COUNTIFS('Дневник'!$A$6:$A$125,"&gt;="&amp;A38,'Дневник'!$A$6:$A$125,"&lt;="&amp;I38,'Дневник'!$J$6:$J$125,"&gt;0")-COUNTIFS('Дневник'!$A$6:$A$125,"&gt;="&amp;A38,'Дневник'!$A$6:$A$125,"&lt;="&amp;I38,'Дневник'!$I$6:$I$125,"&gt;0",'Дневник'!$J$6:$J$125,"&gt;0"))</x:f>
      </x:c>
      <x:c r="I38" s="11" t="n">
        <x:f>'Календарь'!B38</x:f>
        <x:v>46502</x:v>
      </x:c>
    </x:row>
    <x:row r="39" ht="28" customHeight="1">
      <x:c r="A39" s="12" t="n">
        <x:f>'Календарь'!A39</x:f>
        <x:v>46503</x:v>
      </x:c>
      <x:c r="B39" s="14" t="str">
        <x:f>IF(COUNTIFS('Дневник'!$A$6:$A$125,"&gt;="&amp;A39,'Дневник'!$A$6:$A$125,"&lt;="&amp;I39,'Дневник'!$C$6:$C$125,"&gt;0")=0,"",COUNTIFS('Дневник'!$A$6:$A$125,"&gt;="&amp;A39,'Дневник'!$A$6:$A$125,"&lt;="&amp;I39,'Дневник'!$C$6:$C$125,"&gt;0"))</x:f>
      </x:c>
      <x:c r="C39" s="14" t="str">
        <x:f>IF(B39="","",SUMIFS('Дневник'!$C$6:$C$125,'Дневник'!$A$6:$A$125,"&gt;="&amp;A39,'Дневник'!$A$6:$A$125,"&lt;="&amp;I39))</x:f>
      </x:c>
      <x:c r="D39" s="14" t="str">
        <x:f>IF(B39="","",SUMIFS('Дневник'!$E$6:$E$125,'Дневник'!$A$6:$A$125,"&gt;="&amp;A39,'Дневник'!$A$6:$A$125,"&lt;="&amp;I39))</x:f>
      </x:c>
      <x:c r="E39" s="14" t="str">
        <x:f>IF(B39="","",SUMIFS('Дневник'!$F$6:$F$125,'Дневник'!$A$6:$A$125,"&gt;="&amp;A39,'Дневник'!$A$6:$A$125,"&lt;="&amp;I39))</x:f>
      </x:c>
      <x:c r="F39" s="14" t="str">
        <x:f>IF(B39="","",SUMIFS('Дневник'!$G$6:$G$125,'Дневник'!$A$6:$A$125,"&gt;="&amp;A39,'Дневник'!$A$6:$A$125,"&lt;="&amp;I39))</x:f>
      </x:c>
      <x:c r="G39" s="19" t="str">
        <x:f>IF(B39="","",IFERROR(SUMIFS('Дневник'!$D$6:$D$125,'Дневник'!$A$6:$A$125,"&gt;="&amp;A39,'Дневник'!$A$6:$A$125,"&lt;="&amp;I39,'Дневник'!$C$6:$C$125,"&gt;0")/COUNTIFS('Дневник'!$A$6:$A$125,"&gt;="&amp;A39,'Дневник'!$A$6:$A$125,"&lt;="&amp;I39,'Дневник'!$C$6:$C$125,"&gt;0",'Дневник'!$D$6:$D$125,"&lt;&gt;"),""))</x:f>
      </x:c>
      <x:c r="H39" s="14" t="str">
        <x:f>IF(B39="","",COUNTIFS('Дневник'!$A$6:$A$125,"&gt;="&amp;A39,'Дневник'!$A$6:$A$125,"&lt;="&amp;I39,'Дневник'!$I$6:$I$125,"&gt;0")+COUNTIFS('Дневник'!$A$6:$A$125,"&gt;="&amp;A39,'Дневник'!$A$6:$A$125,"&lt;="&amp;I39,'Дневник'!$J$6:$J$125,"&gt;0")-COUNTIFS('Дневник'!$A$6:$A$125,"&gt;="&amp;A39,'Дневник'!$A$6:$A$125,"&lt;="&amp;I39,'Дневник'!$I$6:$I$125,"&gt;0",'Дневник'!$J$6:$J$125,"&gt;0"))</x:f>
      </x:c>
      <x:c r="I39" s="12" t="n">
        <x:f>'Календарь'!B39</x:f>
        <x:v>46509</x:v>
      </x:c>
    </x:row>
    <x:row r="40" ht="28" customHeight="1">
      <x:c r="A40" s="11" t="n">
        <x:f>'Календарь'!A40</x:f>
        <x:v>46510</x:v>
      </x:c>
      <x:c r="B40" s="13" t="str">
        <x:f>IF(COUNTIFS('Дневник'!$A$6:$A$125,"&gt;="&amp;A40,'Дневник'!$A$6:$A$125,"&lt;="&amp;I40,'Дневник'!$C$6:$C$125,"&gt;0")=0,"",COUNTIFS('Дневник'!$A$6:$A$125,"&gt;="&amp;A40,'Дневник'!$A$6:$A$125,"&lt;="&amp;I40,'Дневник'!$C$6:$C$125,"&gt;0"))</x:f>
      </x:c>
      <x:c r="C40" s="13" t="str">
        <x:f>IF(B40="","",SUMIFS('Дневник'!$C$6:$C$125,'Дневник'!$A$6:$A$125,"&gt;="&amp;A40,'Дневник'!$A$6:$A$125,"&lt;="&amp;I40))</x:f>
      </x:c>
      <x:c r="D40" s="13" t="str">
        <x:f>IF(B40="","",SUMIFS('Дневник'!$E$6:$E$125,'Дневник'!$A$6:$A$125,"&gt;="&amp;A40,'Дневник'!$A$6:$A$125,"&lt;="&amp;I40))</x:f>
      </x:c>
      <x:c r="E40" s="13" t="str">
        <x:f>IF(B40="","",SUMIFS('Дневник'!$F$6:$F$125,'Дневник'!$A$6:$A$125,"&gt;="&amp;A40,'Дневник'!$A$6:$A$125,"&lt;="&amp;I40))</x:f>
      </x:c>
      <x:c r="F40" s="13" t="str">
        <x:f>IF(B40="","",SUMIFS('Дневник'!$G$6:$G$125,'Дневник'!$A$6:$A$125,"&gt;="&amp;A40,'Дневник'!$A$6:$A$125,"&lt;="&amp;I40))</x:f>
      </x:c>
      <x:c r="G40" s="18" t="str">
        <x:f>IF(B40="","",IFERROR(SUMIFS('Дневник'!$D$6:$D$125,'Дневник'!$A$6:$A$125,"&gt;="&amp;A40,'Дневник'!$A$6:$A$125,"&lt;="&amp;I40,'Дневник'!$C$6:$C$125,"&gt;0")/COUNTIFS('Дневник'!$A$6:$A$125,"&gt;="&amp;A40,'Дневник'!$A$6:$A$125,"&lt;="&amp;I40,'Дневник'!$C$6:$C$125,"&gt;0",'Дневник'!$D$6:$D$125,"&lt;&gt;"),""))</x:f>
      </x:c>
      <x:c r="H40" s="13" t="str">
        <x:f>IF(B40="","",COUNTIFS('Дневник'!$A$6:$A$125,"&gt;="&amp;A40,'Дневник'!$A$6:$A$125,"&lt;="&amp;I40,'Дневник'!$I$6:$I$125,"&gt;0")+COUNTIFS('Дневник'!$A$6:$A$125,"&gt;="&amp;A40,'Дневник'!$A$6:$A$125,"&lt;="&amp;I40,'Дневник'!$J$6:$J$125,"&gt;0")-COUNTIFS('Дневник'!$A$6:$A$125,"&gt;="&amp;A40,'Дневник'!$A$6:$A$125,"&lt;="&amp;I40,'Дневник'!$I$6:$I$125,"&gt;0",'Дневник'!$J$6:$J$125,"&gt;0"))</x:f>
      </x:c>
      <x:c r="I40" s="11" t="n">
        <x:f>'Календарь'!B40</x:f>
        <x:v>46516</x:v>
      </x:c>
    </x:row>
    <x:row r="41" ht="28" customHeight="1">
      <x:c r="A41" s="12" t="n">
        <x:f>'Календарь'!A41</x:f>
        <x:v>46517</x:v>
      </x:c>
      <x:c r="B41" s="14" t="str">
        <x:f>IF(COUNTIFS('Дневник'!$A$6:$A$125,"&gt;="&amp;A41,'Дневник'!$A$6:$A$125,"&lt;="&amp;I41,'Дневник'!$C$6:$C$125,"&gt;0")=0,"",COUNTIFS('Дневник'!$A$6:$A$125,"&gt;="&amp;A41,'Дневник'!$A$6:$A$125,"&lt;="&amp;I41,'Дневник'!$C$6:$C$125,"&gt;0"))</x:f>
      </x:c>
      <x:c r="C41" s="14" t="str">
        <x:f>IF(B41="","",SUMIFS('Дневник'!$C$6:$C$125,'Дневник'!$A$6:$A$125,"&gt;="&amp;A41,'Дневник'!$A$6:$A$125,"&lt;="&amp;I41))</x:f>
      </x:c>
      <x:c r="D41" s="14" t="str">
        <x:f>IF(B41="","",SUMIFS('Дневник'!$E$6:$E$125,'Дневник'!$A$6:$A$125,"&gt;="&amp;A41,'Дневник'!$A$6:$A$125,"&lt;="&amp;I41))</x:f>
      </x:c>
      <x:c r="E41" s="14" t="str">
        <x:f>IF(B41="","",SUMIFS('Дневник'!$F$6:$F$125,'Дневник'!$A$6:$A$125,"&gt;="&amp;A41,'Дневник'!$A$6:$A$125,"&lt;="&amp;I41))</x:f>
      </x:c>
      <x:c r="F41" s="14" t="str">
        <x:f>IF(B41="","",SUMIFS('Дневник'!$G$6:$G$125,'Дневник'!$A$6:$A$125,"&gt;="&amp;A41,'Дневник'!$A$6:$A$125,"&lt;="&amp;I41))</x:f>
      </x:c>
      <x:c r="G41" s="19" t="str">
        <x:f>IF(B41="","",IFERROR(SUMIFS('Дневник'!$D$6:$D$125,'Дневник'!$A$6:$A$125,"&gt;="&amp;A41,'Дневник'!$A$6:$A$125,"&lt;="&amp;I41,'Дневник'!$C$6:$C$125,"&gt;0")/COUNTIFS('Дневник'!$A$6:$A$125,"&gt;="&amp;A41,'Дневник'!$A$6:$A$125,"&lt;="&amp;I41,'Дневник'!$C$6:$C$125,"&gt;0",'Дневник'!$D$6:$D$125,"&lt;&gt;"),""))</x:f>
      </x:c>
      <x:c r="H41" s="14" t="str">
        <x:f>IF(B41="","",COUNTIFS('Дневник'!$A$6:$A$125,"&gt;="&amp;A41,'Дневник'!$A$6:$A$125,"&lt;="&amp;I41,'Дневник'!$I$6:$I$125,"&gt;0")+COUNTIFS('Дневник'!$A$6:$A$125,"&gt;="&amp;A41,'Дневник'!$A$6:$A$125,"&lt;="&amp;I41,'Дневник'!$J$6:$J$125,"&gt;0")-COUNTIFS('Дневник'!$A$6:$A$125,"&gt;="&amp;A41,'Дневник'!$A$6:$A$125,"&lt;="&amp;I41,'Дневник'!$I$6:$I$125,"&gt;0",'Дневник'!$J$6:$J$125,"&gt;0"))</x:f>
      </x:c>
      <x:c r="I41" s="12" t="n">
        <x:f>'Календарь'!B41</x:f>
        <x:v>46523</x:v>
      </x:c>
    </x:row>
    <x:row r="42" ht="28" customHeight="1">
      <x:c r="A42" s="11" t="n">
        <x:f>'Календарь'!A42</x:f>
        <x:v>46524</x:v>
      </x:c>
      <x:c r="B42" s="13" t="str">
        <x:f>IF(COUNTIFS('Дневник'!$A$6:$A$125,"&gt;="&amp;A42,'Дневник'!$A$6:$A$125,"&lt;="&amp;I42,'Дневник'!$C$6:$C$125,"&gt;0")=0,"",COUNTIFS('Дневник'!$A$6:$A$125,"&gt;="&amp;A42,'Дневник'!$A$6:$A$125,"&lt;="&amp;I42,'Дневник'!$C$6:$C$125,"&gt;0"))</x:f>
      </x:c>
      <x:c r="C42" s="13" t="str">
        <x:f>IF(B42="","",SUMIFS('Дневник'!$C$6:$C$125,'Дневник'!$A$6:$A$125,"&gt;="&amp;A42,'Дневник'!$A$6:$A$125,"&lt;="&amp;I42))</x:f>
      </x:c>
      <x:c r="D42" s="13" t="str">
        <x:f>IF(B42="","",SUMIFS('Дневник'!$E$6:$E$125,'Дневник'!$A$6:$A$125,"&gt;="&amp;A42,'Дневник'!$A$6:$A$125,"&lt;="&amp;I42))</x:f>
      </x:c>
      <x:c r="E42" s="13" t="str">
        <x:f>IF(B42="","",SUMIFS('Дневник'!$F$6:$F$125,'Дневник'!$A$6:$A$125,"&gt;="&amp;A42,'Дневник'!$A$6:$A$125,"&lt;="&amp;I42))</x:f>
      </x:c>
      <x:c r="F42" s="13" t="str">
        <x:f>IF(B42="","",SUMIFS('Дневник'!$G$6:$G$125,'Дневник'!$A$6:$A$125,"&gt;="&amp;A42,'Дневник'!$A$6:$A$125,"&lt;="&amp;I42))</x:f>
      </x:c>
      <x:c r="G42" s="18" t="str">
        <x:f>IF(B42="","",IFERROR(SUMIFS('Дневник'!$D$6:$D$125,'Дневник'!$A$6:$A$125,"&gt;="&amp;A42,'Дневник'!$A$6:$A$125,"&lt;="&amp;I42,'Дневник'!$C$6:$C$125,"&gt;0")/COUNTIFS('Дневник'!$A$6:$A$125,"&gt;="&amp;A42,'Дневник'!$A$6:$A$125,"&lt;="&amp;I42,'Дневник'!$C$6:$C$125,"&gt;0",'Дневник'!$D$6:$D$125,"&lt;&gt;"),""))</x:f>
      </x:c>
      <x:c r="H42" s="13" t="str">
        <x:f>IF(B42="","",COUNTIFS('Дневник'!$A$6:$A$125,"&gt;="&amp;A42,'Дневник'!$A$6:$A$125,"&lt;="&amp;I42,'Дневник'!$I$6:$I$125,"&gt;0")+COUNTIFS('Дневник'!$A$6:$A$125,"&gt;="&amp;A42,'Дневник'!$A$6:$A$125,"&lt;="&amp;I42,'Дневник'!$J$6:$J$125,"&gt;0")-COUNTIFS('Дневник'!$A$6:$A$125,"&gt;="&amp;A42,'Дневник'!$A$6:$A$125,"&lt;="&amp;I42,'Дневник'!$I$6:$I$125,"&gt;0",'Дневник'!$J$6:$J$125,"&gt;0"))</x:f>
      </x:c>
      <x:c r="I42" s="11" t="n">
        <x:f>'Календарь'!B42</x:f>
        <x:v>46530</x:v>
      </x:c>
    </x:row>
    <x:row r="43" ht="28" customHeight="1">
      <x:c r="A43" s="12" t="n">
        <x:f>'Календарь'!A43</x:f>
        <x:v>46531</x:v>
      </x:c>
      <x:c r="B43" s="14" t="str">
        <x:f>IF(COUNTIFS('Дневник'!$A$6:$A$125,"&gt;="&amp;A43,'Дневник'!$A$6:$A$125,"&lt;="&amp;I43,'Дневник'!$C$6:$C$125,"&gt;0")=0,"",COUNTIFS('Дневник'!$A$6:$A$125,"&gt;="&amp;A43,'Дневник'!$A$6:$A$125,"&lt;="&amp;I43,'Дневник'!$C$6:$C$125,"&gt;0"))</x:f>
      </x:c>
      <x:c r="C43" s="14" t="str">
        <x:f>IF(B43="","",SUMIFS('Дневник'!$C$6:$C$125,'Дневник'!$A$6:$A$125,"&gt;="&amp;A43,'Дневник'!$A$6:$A$125,"&lt;="&amp;I43))</x:f>
      </x:c>
      <x:c r="D43" s="14" t="str">
        <x:f>IF(B43="","",SUMIFS('Дневник'!$E$6:$E$125,'Дневник'!$A$6:$A$125,"&gt;="&amp;A43,'Дневник'!$A$6:$A$125,"&lt;="&amp;I43))</x:f>
      </x:c>
      <x:c r="E43" s="14" t="str">
        <x:f>IF(B43="","",SUMIFS('Дневник'!$F$6:$F$125,'Дневник'!$A$6:$A$125,"&gt;="&amp;A43,'Дневник'!$A$6:$A$125,"&lt;="&amp;I43))</x:f>
      </x:c>
      <x:c r="F43" s="14" t="str">
        <x:f>IF(B43="","",SUMIFS('Дневник'!$G$6:$G$125,'Дневник'!$A$6:$A$125,"&gt;="&amp;A43,'Дневник'!$A$6:$A$125,"&lt;="&amp;I43))</x:f>
      </x:c>
      <x:c r="G43" s="19" t="str">
        <x:f>IF(B43="","",IFERROR(SUMIFS('Дневник'!$D$6:$D$125,'Дневник'!$A$6:$A$125,"&gt;="&amp;A43,'Дневник'!$A$6:$A$125,"&lt;="&amp;I43,'Дневник'!$C$6:$C$125,"&gt;0")/COUNTIFS('Дневник'!$A$6:$A$125,"&gt;="&amp;A43,'Дневник'!$A$6:$A$125,"&lt;="&amp;I43,'Дневник'!$C$6:$C$125,"&gt;0",'Дневник'!$D$6:$D$125,"&lt;&gt;"),""))</x:f>
      </x:c>
      <x:c r="H43" s="14" t="str">
        <x:f>IF(B43="","",COUNTIFS('Дневник'!$A$6:$A$125,"&gt;="&amp;A43,'Дневник'!$A$6:$A$125,"&lt;="&amp;I43,'Дневник'!$I$6:$I$125,"&gt;0")+COUNTIFS('Дневник'!$A$6:$A$125,"&gt;="&amp;A43,'Дневник'!$A$6:$A$125,"&lt;="&amp;I43,'Дневник'!$J$6:$J$125,"&gt;0")-COUNTIFS('Дневник'!$A$6:$A$125,"&gt;="&amp;A43,'Дневник'!$A$6:$A$125,"&lt;="&amp;I43,'Дневник'!$I$6:$I$125,"&gt;0",'Дневник'!$J$6:$J$125,"&gt;0"))</x:f>
      </x:c>
      <x:c r="I43" s="12" t="n">
        <x:f>'Календарь'!B43</x:f>
        <x:v>46537</x:v>
      </x:c>
    </x:row>
    <x:row r="44" ht="28" customHeight="1">
      <x:c r="A44" s="3"/>
      <x:c r="B44" s="3"/>
      <x:c r="C44" s="3"/>
      <x:c r="D44" s="3"/>
      <x:c r="E44" s="3"/>
      <x:c r="F44" s="3"/>
      <x:c r="G44" s="3"/>
      <x:c r="H44" s="3"/>
      <x:c r="I44" s="3"/>
    </x:row>
    <x:row r="45" ht="21" customHeight="1">
      <x:c r="A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B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C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D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E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F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G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H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I45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</x:row>
    <x:row r="46" ht="21" customHeight="1">
      <x:c r="A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B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C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D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E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F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G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H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  <x:c r="I46" s="9" t="str">
        <x:v>Сравнивать блоки по 4–8 недель. Успех — больше сложных движений и пролазов при переносимой нагрузке; обязательного роста количества попыток каждую неделю нет. После болезни и поездки допустим откат объёма.</x:v>
      </x:c>
    </x:row>
    <x:row r="47" ht="28" customHeight="1">
      <x:c r="A47" s="3"/>
      <x:c r="B47" s="3"/>
      <x:c r="C47" s="3"/>
      <x:c r="D47" s="3"/>
      <x:c r="E47" s="3"/>
      <x:c r="F47" s="3"/>
      <x:c r="G47" s="3"/>
      <x:c r="H47" s="3"/>
      <x:c r="I47" s="3"/>
    </x:row>
  </x:sheetData>
  <x:mergeCells>
    <x:mergeCell ref="A1:I1"/>
    <x:mergeCell ref="A3:I4"/>
    <x:mergeCell ref="A45:I46"/>
  </x:mergeCells>
  <x:conditionalFormatting sqref="H6:H43">
    <x:cfRule type="cellIs" dxfId="2" priority="1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.670000076293945" hidden="0" customWidth="1"/>
    <x:col min="3" max="3" width="13.890000343322754" hidden="0" customWidth="1"/>
    <x:col min="4" max="4" width="28.889999389648438" hidden="0" customWidth="1"/>
    <x:col min="5" max="5" width="28.889999389648438" hidden="0" customWidth="1"/>
    <x:col min="6" max="6" width="17.219999313354492" hidden="0" customWidth="1"/>
    <x:col min="7" max="7" width="11.670000076293945" hidden="0" customWidth="1"/>
    <x:col min="8" max="8" width="27.219999313354492" hidden="0" customWidth="1"/>
  </x:cols>
  <x:sheetData>
    <x:row r="1" ht="33" customHeight="1">
      <x:c r="A1" s="5" t="str">
        <x:v>ПРОЕКТЫ · ЗАМЕЧАТЬ ПРОГРЕСС ДО ПРОЛАЗА</x:v>
      </x:c>
      <x:c r="B1" s="5" t="str">
        <x:v>ПРОЕКТЫ · ЗАМЕЧАТЬ ПРОГРЕСС ДО ПРОЛАЗА</x:v>
      </x:c>
      <x:c r="C1" s="5" t="str">
        <x:v>ПРОЕКТЫ · ЗАМЕЧАТЬ ПРОГРЕСС ДО ПРОЛАЗА</x:v>
      </x:c>
      <x:c r="D1" s="5" t="str">
        <x:v>ПРОЕКТЫ · ЗАМЕЧАТЬ ПРОГРЕСС ДО ПРОЛАЗА</x:v>
      </x:c>
      <x:c r="E1" s="5" t="str">
        <x:v>ПРОЕКТЫ · ЗАМЕЧАТЬ ПРОГРЕСС ДО ПРОЛАЗА</x:v>
      </x:c>
      <x:c r="F1" s="5" t="str">
        <x:v>ПРОЕКТЫ · ЗАМЕЧАТЬ ПРОГРЕСС ДО ПРОЛАЗА</x:v>
      </x:c>
      <x:c r="G1" s="5" t="str">
        <x:v>ПРОЕКТЫ · ЗАМЕЧАТЬ ПРОГРЕСС ДО ПРОЛАЗА</x:v>
      </x:c>
      <x:c r="H1" s="5" t="str">
        <x:v>ПРОЕКТЫ · ЗАМЕЧАТЬ ПРОГРЕСС ДО ПРОЛАЗА</x:v>
      </x:c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 ht="21" customHeight="1">
      <x:c r="A3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B3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C3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D3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E3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F3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G3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H3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</x:row>
    <x:row r="4" ht="21" customHeight="1">
      <x:c r="A4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B4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C4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D4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E4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F4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G4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  <x:c r="H4" s="9" t="str">
        <x:v>Одна строка — одна задача. Записывать реальные маленькие изменения: удержал, сделал движение, соединил секцию, повторил, прошёл. Категории зала, доски и скал считать отдельными шкалами. Данные не заполнены вымышленными результатами.</x:v>
      </x:c>
    </x:row>
    <x:row r="5" ht="33.75" customHeight="1">
      <x:c r="A5" s="8" t="str">
        <x:v>Место / доска</x:v>
      </x:c>
      <x:c r="B5" s="8" t="str">
        <x:v>Категория</x:v>
      </x:c>
      <x:c r="C5" s="8" t="str">
        <x:v>Дата начала</x:v>
      </x:c>
      <x:c r="D5" s="8" t="str">
        <x:v>Название / описание</x:v>
      </x:c>
      <x:c r="E5" s="8" t="str">
        <x:v>Последний наблюдаемый шаг</x:v>
      </x:c>
      <x:c r="F5" s="8" t="str">
        <x:v>Состояние</x:v>
      </x:c>
      <x:c r="G5" s="8" t="str">
        <x:v>Занятий</x:v>
      </x:c>
      <x:c r="H5" s="8" t="str">
        <x:v>Следующая гипотеза</x:v>
      </x:c>
    </x:row>
    <x:row r="6" ht="41.25" customHeight="1">
      <x:c r="A6" s="15"/>
      <x:c r="B6" s="15"/>
      <x:c r="C6" s="16"/>
      <x:c r="D6" s="15"/>
      <x:c r="E6" s="15"/>
      <x:c r="F6" s="15"/>
      <x:c r="G6" s="17"/>
      <x:c r="H6" s="15"/>
    </x:row>
    <x:row r="7" ht="41.25" customHeight="1">
      <x:c r="A7" s="15"/>
      <x:c r="B7" s="15"/>
      <x:c r="C7" s="16"/>
      <x:c r="D7" s="15"/>
      <x:c r="E7" s="15"/>
      <x:c r="F7" s="15"/>
      <x:c r="G7" s="17"/>
      <x:c r="H7" s="15"/>
    </x:row>
    <x:row r="8" ht="41.25" customHeight="1">
      <x:c r="A8" s="15"/>
      <x:c r="B8" s="15"/>
      <x:c r="C8" s="16"/>
      <x:c r="D8" s="15"/>
      <x:c r="E8" s="15"/>
      <x:c r="F8" s="15"/>
      <x:c r="G8" s="17"/>
      <x:c r="H8" s="15"/>
    </x:row>
    <x:row r="9" ht="41.25" customHeight="1">
      <x:c r="A9" s="15"/>
      <x:c r="B9" s="15"/>
      <x:c r="C9" s="16"/>
      <x:c r="D9" s="15"/>
      <x:c r="E9" s="15"/>
      <x:c r="F9" s="15"/>
      <x:c r="G9" s="17"/>
      <x:c r="H9" s="15"/>
    </x:row>
    <x:row r="10" ht="41.25" customHeight="1">
      <x:c r="A10" s="15"/>
      <x:c r="B10" s="15"/>
      <x:c r="C10" s="16"/>
      <x:c r="D10" s="15"/>
      <x:c r="E10" s="15"/>
      <x:c r="F10" s="15"/>
      <x:c r="G10" s="17"/>
      <x:c r="H10" s="15"/>
    </x:row>
    <x:row r="11" ht="41.25" customHeight="1">
      <x:c r="A11" s="15"/>
      <x:c r="B11" s="15"/>
      <x:c r="C11" s="16"/>
      <x:c r="D11" s="15"/>
      <x:c r="E11" s="15"/>
      <x:c r="F11" s="15"/>
      <x:c r="G11" s="17"/>
      <x:c r="H11" s="15"/>
    </x:row>
    <x:row r="12" ht="41.25" customHeight="1">
      <x:c r="A12" s="15"/>
      <x:c r="B12" s="15"/>
      <x:c r="C12" s="16"/>
      <x:c r="D12" s="15"/>
      <x:c r="E12" s="15"/>
      <x:c r="F12" s="15"/>
      <x:c r="G12" s="17"/>
      <x:c r="H12" s="15"/>
    </x:row>
    <x:row r="13" ht="41.25" customHeight="1">
      <x:c r="A13" s="15"/>
      <x:c r="B13" s="15"/>
      <x:c r="C13" s="16"/>
      <x:c r="D13" s="15"/>
      <x:c r="E13" s="15"/>
      <x:c r="F13" s="15"/>
      <x:c r="G13" s="17"/>
      <x:c r="H13" s="15"/>
    </x:row>
    <x:row r="14" ht="41.25" customHeight="1">
      <x:c r="A14" s="15"/>
      <x:c r="B14" s="15"/>
      <x:c r="C14" s="16"/>
      <x:c r="D14" s="15"/>
      <x:c r="E14" s="15"/>
      <x:c r="F14" s="15"/>
      <x:c r="G14" s="17"/>
      <x:c r="H14" s="15"/>
    </x:row>
    <x:row r="15" ht="41.25" customHeight="1">
      <x:c r="A15" s="15"/>
      <x:c r="B15" s="15"/>
      <x:c r="C15" s="16"/>
      <x:c r="D15" s="15"/>
      <x:c r="E15" s="15"/>
      <x:c r="F15" s="15"/>
      <x:c r="G15" s="17"/>
      <x:c r="H15" s="15"/>
    </x:row>
    <x:row r="16" ht="41.25" customHeight="1">
      <x:c r="A16" s="15"/>
      <x:c r="B16" s="15"/>
      <x:c r="C16" s="16"/>
      <x:c r="D16" s="15"/>
      <x:c r="E16" s="15"/>
      <x:c r="F16" s="15"/>
      <x:c r="G16" s="17"/>
      <x:c r="H16" s="15"/>
    </x:row>
    <x:row r="17" ht="41.25" customHeight="1">
      <x:c r="A17" s="15"/>
      <x:c r="B17" s="15"/>
      <x:c r="C17" s="16"/>
      <x:c r="D17" s="15"/>
      <x:c r="E17" s="15"/>
      <x:c r="F17" s="15"/>
      <x:c r="G17" s="17"/>
      <x:c r="H17" s="15"/>
    </x:row>
    <x:row r="18" ht="41.25" customHeight="1">
      <x:c r="A18" s="15"/>
      <x:c r="B18" s="15"/>
      <x:c r="C18" s="16"/>
      <x:c r="D18" s="15"/>
      <x:c r="E18" s="15"/>
      <x:c r="F18" s="15"/>
      <x:c r="G18" s="17"/>
      <x:c r="H18" s="15"/>
    </x:row>
    <x:row r="19" ht="41.25" customHeight="1">
      <x:c r="A19" s="15"/>
      <x:c r="B19" s="15"/>
      <x:c r="C19" s="16"/>
      <x:c r="D19" s="15"/>
      <x:c r="E19" s="15"/>
      <x:c r="F19" s="15"/>
      <x:c r="G19" s="17"/>
      <x:c r="H19" s="15"/>
    </x:row>
    <x:row r="20" ht="41.25" customHeight="1">
      <x:c r="A20" s="15"/>
      <x:c r="B20" s="15"/>
      <x:c r="C20" s="16"/>
      <x:c r="D20" s="15"/>
      <x:c r="E20" s="15"/>
      <x:c r="F20" s="15"/>
      <x:c r="G20" s="17"/>
      <x:c r="H20" s="15"/>
    </x:row>
    <x:row r="21" ht="41.25" customHeight="1">
      <x:c r="A21" s="15"/>
      <x:c r="B21" s="15"/>
      <x:c r="C21" s="16"/>
      <x:c r="D21" s="15"/>
      <x:c r="E21" s="15"/>
      <x:c r="F21" s="15"/>
      <x:c r="G21" s="17"/>
      <x:c r="H21" s="15"/>
    </x:row>
    <x:row r="22" ht="41.25" customHeight="1">
      <x:c r="A22" s="15"/>
      <x:c r="B22" s="15"/>
      <x:c r="C22" s="16"/>
      <x:c r="D22" s="15"/>
      <x:c r="E22" s="15"/>
      <x:c r="F22" s="15"/>
      <x:c r="G22" s="17"/>
      <x:c r="H22" s="15"/>
    </x:row>
    <x:row r="23" ht="41.25" customHeight="1">
      <x:c r="A23" s="15"/>
      <x:c r="B23" s="15"/>
      <x:c r="C23" s="16"/>
      <x:c r="D23" s="15"/>
      <x:c r="E23" s="15"/>
      <x:c r="F23" s="15"/>
      <x:c r="G23" s="17"/>
      <x:c r="H23" s="15"/>
    </x:row>
    <x:row r="24" ht="41.25" customHeight="1">
      <x:c r="A24" s="15"/>
      <x:c r="B24" s="15"/>
      <x:c r="C24" s="16"/>
      <x:c r="D24" s="15"/>
      <x:c r="E24" s="15"/>
      <x:c r="F24" s="15"/>
      <x:c r="G24" s="17"/>
      <x:c r="H24" s="15"/>
    </x:row>
    <x:row r="25" ht="41.25" customHeight="1">
      <x:c r="A25" s="15"/>
      <x:c r="B25" s="15"/>
      <x:c r="C25" s="16"/>
      <x:c r="D25" s="15"/>
      <x:c r="E25" s="15"/>
      <x:c r="F25" s="15"/>
      <x:c r="G25" s="17"/>
      <x:c r="H25" s="15"/>
    </x:row>
    <x:row r="26" ht="41.25" customHeight="1">
      <x:c r="A26" s="15"/>
      <x:c r="B26" s="15"/>
      <x:c r="C26" s="16"/>
      <x:c r="D26" s="15"/>
      <x:c r="E26" s="15"/>
      <x:c r="F26" s="15"/>
      <x:c r="G26" s="17"/>
      <x:c r="H26" s="15"/>
    </x:row>
    <x:row r="27" ht="41.25" customHeight="1">
      <x:c r="A27" s="15"/>
      <x:c r="B27" s="15"/>
      <x:c r="C27" s="16"/>
      <x:c r="D27" s="15"/>
      <x:c r="E27" s="15"/>
      <x:c r="F27" s="15"/>
      <x:c r="G27" s="17"/>
      <x:c r="H27" s="15"/>
    </x:row>
    <x:row r="28" ht="41.25" customHeight="1">
      <x:c r="A28" s="15"/>
      <x:c r="B28" s="15"/>
      <x:c r="C28" s="16"/>
      <x:c r="D28" s="15"/>
      <x:c r="E28" s="15"/>
      <x:c r="F28" s="15"/>
      <x:c r="G28" s="17"/>
      <x:c r="H28" s="15"/>
    </x:row>
    <x:row r="29" ht="41.25" customHeight="1">
      <x:c r="A29" s="15"/>
      <x:c r="B29" s="15"/>
      <x:c r="C29" s="16"/>
      <x:c r="D29" s="15"/>
      <x:c r="E29" s="15"/>
      <x:c r="F29" s="15"/>
      <x:c r="G29" s="17"/>
      <x:c r="H29" s="15"/>
    </x:row>
    <x:row r="30" ht="41.25" customHeight="1">
      <x:c r="A30" s="15"/>
      <x:c r="B30" s="15"/>
      <x:c r="C30" s="16"/>
      <x:c r="D30" s="15"/>
      <x:c r="E30" s="15"/>
      <x:c r="F30" s="15"/>
      <x:c r="G30" s="17"/>
      <x:c r="H30" s="15"/>
    </x:row>
    <x:row r="31" ht="41.25" customHeight="1">
      <x:c r="A31" s="15"/>
      <x:c r="B31" s="15"/>
      <x:c r="C31" s="16"/>
      <x:c r="D31" s="15"/>
      <x:c r="E31" s="15"/>
      <x:c r="F31" s="15"/>
      <x:c r="G31" s="17"/>
      <x:c r="H31" s="15"/>
    </x:row>
    <x:row r="32" ht="41.25" customHeight="1">
      <x:c r="A32" s="15"/>
      <x:c r="B32" s="15"/>
      <x:c r="C32" s="16"/>
      <x:c r="D32" s="15"/>
      <x:c r="E32" s="15"/>
      <x:c r="F32" s="15"/>
      <x:c r="G32" s="17"/>
      <x:c r="H32" s="15"/>
    </x:row>
    <x:row r="33" ht="41.25" customHeight="1">
      <x:c r="A33" s="15"/>
      <x:c r="B33" s="15"/>
      <x:c r="C33" s="16"/>
      <x:c r="D33" s="15"/>
      <x:c r="E33" s="15"/>
      <x:c r="F33" s="15"/>
      <x:c r="G33" s="17"/>
      <x:c r="H33" s="15"/>
    </x:row>
    <x:row r="34" ht="41.25" customHeight="1">
      <x:c r="A34" s="15"/>
      <x:c r="B34" s="15"/>
      <x:c r="C34" s="16"/>
      <x:c r="D34" s="15"/>
      <x:c r="E34" s="15"/>
      <x:c r="F34" s="15"/>
      <x:c r="G34" s="17"/>
      <x:c r="H34" s="15"/>
    </x:row>
    <x:row r="35" ht="41.25" customHeight="1">
      <x:c r="A35" s="15"/>
      <x:c r="B35" s="15"/>
      <x:c r="C35" s="16"/>
      <x:c r="D35" s="15"/>
      <x:c r="E35" s="15"/>
      <x:c r="F35" s="15"/>
      <x:c r="G35" s="17"/>
      <x:c r="H35" s="15"/>
    </x:row>
    <x:row r="36" ht="28" customHeight="1">
      <x:c r="A36" s="3"/>
      <x:c r="B36" s="3"/>
      <x:c r="C36" s="3"/>
      <x:c r="D36" s="3"/>
      <x:c r="E36" s="3"/>
      <x:c r="F36" s="3"/>
      <x:c r="G36" s="3"/>
      <x:c r="H36" s="3"/>
    </x:row>
    <x:row r="37" ht="28" customHeight="1">
      <x:c r="A37" s="3"/>
      <x:c r="B37" s="3"/>
      <x:c r="C37" s="3"/>
      <x:c r="D37" s="3"/>
      <x:c r="E37" s="3"/>
      <x:c r="F37" s="3"/>
      <x:c r="G37" s="3"/>
      <x:c r="H37" s="3"/>
    </x:row>
    <x:row r="38" ht="21.75" customHeight="1">
      <x:c r="A38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B38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C38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D38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E38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F38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G38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H38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</x:row>
    <x:row r="39" ht="21.75" customHeight="1">
      <x:c r="A39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B39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C39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D39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E39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F39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G39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  <x:c r="H39" s="9" t="str">
        <x:v>Контроль к маю: не менее 2 новых 7A на 3 из 4 выбранных результативных тренировок; 7A+ за 2 занятия — отдельная цель. Считать сложность разных стилей и не включать разминочные повторы в число новых трасс.</x:v>
      </x:c>
    </x:row>
    <x:row r="40" ht="28" customHeight="1">
      <x:c r="A40" s="3"/>
      <x:c r="B40" s="3"/>
      <x:c r="C40" s="3"/>
      <x:c r="D40" s="3"/>
      <x:c r="E40" s="3"/>
      <x:c r="F40" s="3"/>
      <x:c r="G40" s="3"/>
      <x:c r="H40" s="3"/>
    </x:row>
    <x:row r="41" ht="21.75" customHeight="1">
      <x:c r="A41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B41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C41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D41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E41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F41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G41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H41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</x:row>
    <x:row r="42" ht="21.75" customHeight="1">
      <x:c r="A42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B42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C42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D42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E42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F42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G42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  <x:c r="H42" s="9" t="str">
        <x:v>MoonBoard: сначала небольшая коллекция доступных benchmarks своего угла/расстановки. Начальный ориентир — освоить 3–5 проблем; затем расширить до 10–15, если это не вызывает перегрузки. Это учебные ориентиры, не прогноз категории.</x:v>
      </x:c>
    </x:row>
    <x:row r="43" ht="28" customHeight="1">
      <x:c r="A43" s="3"/>
      <x:c r="B43" s="3"/>
      <x:c r="C43" s="3"/>
      <x:c r="D43" s="3"/>
      <x:c r="E43" s="3"/>
      <x:c r="F43" s="3"/>
      <x:c r="G43" s="3"/>
      <x:c r="H43" s="3"/>
    </x:row>
    <x:row r="44" ht="28" customHeight="1">
      <x:c r="A44" s="3"/>
      <x:c r="B44" s="3"/>
      <x:c r="C44" s="3"/>
      <x:c r="D44" s="3"/>
      <x:c r="E44" s="3"/>
      <x:c r="F44" s="3"/>
      <x:c r="G44" s="3"/>
      <x:c r="H44" s="3"/>
    </x:row>
    <x:row r="45" ht="28" customHeight="1">
      <x:c r="A45" s="3"/>
      <x:c r="B45" s="3"/>
      <x:c r="C45" s="3"/>
      <x:c r="D45" s="3"/>
      <x:c r="E45" s="3"/>
      <x:c r="F45" s="3"/>
      <x:c r="G45" s="3"/>
      <x:c r="H45" s="3"/>
    </x:row>
    <x:row r="46" ht="28" customHeight="1">
      <x:c r="A46" s="3"/>
      <x:c r="B46" s="3"/>
      <x:c r="C46" s="3"/>
      <x:c r="D46" s="3"/>
      <x:c r="E46" s="3"/>
      <x:c r="F46" s="3"/>
      <x:c r="G46" s="3"/>
      <x:c r="H46" s="3"/>
    </x:row>
  </x:sheetData>
  <x:mergeCells>
    <x:mergeCell ref="A1:H1"/>
    <x:mergeCell ref="A3:H4"/>
    <x:mergeCell ref="A38:H39"/>
    <x:mergeCell ref="A41:H42"/>
  </x:mergeCells>
  <x:conditionalFormatting sqref="F6:F35">
    <x:cfRule type="containsText" dxfId="3" priority="1" operator="containsText" text="Пройдено"/>
  </x:conditionalFormatting>
  <x:dataValidations count="1">
    <x:dataValidation type="list" sqref="F6:F35">
      <x:formula1>"Изучаю,Есть движение,Есть секция,Есть связка,Пройдено,Отложено"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ab5218cf5943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26.110000610351562" hidden="0" customWidth="1"/>
    <x:col min="3" max="3" width="18.329999923706055" hidden="0" customWidth="1"/>
    <x:col min="4" max="4" width="40.560001373291016" hidden="0" customWidth="1"/>
    <x:col min="5" max="5" width="53.33000183105469" hidden="0" customWidth="1"/>
  </x:cols>
  <x:sheetData>
    <x:row r="1" ht="33" customHeight="1">
      <x:c r="A1" s="5" t="str">
        <x:v>ИСТОЧНИКИ И ГРАНИЦЫ ВЫВОДОВ</x:v>
      </x:c>
      <x:c r="B1" s="5" t="str">
        <x:v>ИСТОЧНИКИ И ГРАНИЦЫ ВЫВОДОВ</x:v>
      </x:c>
      <x:c r="C1" s="5" t="str">
        <x:v>ИСТОЧНИКИ И ГРАНИЦЫ ВЫВОДОВ</x:v>
      </x:c>
      <x:c r="D1" s="5" t="str">
        <x:v>ИСТОЧНИКИ И ГРАНИЦЫ ВЫВОДОВ</x:v>
      </x:c>
      <x:c r="E1" s="5" t="str">
        <x:v>ИСТОЧНИКИ И ГРАНИЦЫ ВЫВОДОВ</x:v>
      </x:c>
    </x:row>
    <x:row r="2" ht="28" customHeight="1">
      <x:c r="A2" s="3"/>
      <x:c r="B2" s="3"/>
      <x:c r="C2" s="3"/>
      <x:c r="D2" s="3"/>
      <x:c r="E2" s="3"/>
    </x:row>
    <x:row r="3" ht="21" customHeight="1">
      <x:c r="A3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  <x:c r="B3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  <x:c r="C3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  <x:c r="D3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  <x:c r="E3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</x:row>
    <x:row r="4" ht="21" customHeight="1">
      <x:c r="A4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  <x:c r="B4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  <x:c r="C4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  <x:c r="D4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  <x:c r="E4" s="9" t="str">
        <x:v>Проверено 08.09.2026. Исследования помогают выбирать методы; точные дозировки, распределение дней и цели этой программы — индивидуальная практическая настройка. Результаты на здоровых участниках не являются разрешением тренировать травму.</x:v>
      </x:c>
    </x:row>
    <x:row r="5" ht="33.75" customHeight="1">
      <x:c r="A5" s="8" t="str">
        <x:v>ID</x:v>
      </x:c>
      <x:c r="B5" s="8" t="str">
        <x:v>Источник</x:v>
      </x:c>
      <x:c r="C5" s="8" t="str">
        <x:v>Тип</x:v>
      </x:c>
      <x:c r="D5" s="8" t="str">
        <x:v>Что поддерживает / ограничение</x:v>
      </x:c>
      <x:c r="E5" s="8" t="str">
        <x:v>URL</x:v>
      </x:c>
    </x:row>
    <x:row r="6" ht="67.5" customHeight="1">
      <x:c r="A6" s="9" t="str">
        <x:v>S1</x:v>
      </x:c>
      <x:c r="B6" s="9" t="str">
        <x:v>Hermans et al., 2022</x:v>
      </x:c>
      <x:c r="C6" s="9" t="str">
        <x:v>Рандомизированное исследование</x:v>
      </x:c>
      <x:c r="D6" s="9" t="str">
        <x:v>35 скалолазов, 10 недель. Дополнительный фингерборд улучшал специфическую силу. Не доказывает достижение заданной категории.</x:v>
      </x:c>
      <x:c r="E6" s="20" t="str">
        <x:v>https://www.frontiersin.org/journals/sports-and-active-living/articles/10.3389/fspor.2022.888158/full</x:v>
      </x:c>
    </x:row>
    <x:row r="7" ht="67.5" customHeight="1">
      <x:c r="A7" s="3" t="str">
        <x:v>S2</x:v>
      </x:c>
      <x:c r="B7" s="3" t="str">
        <x:v>Devise et al., 2022</x:v>
      </x:c>
      <x:c r="C7" s="3" t="str">
        <x:v>Рандомизированное исследование</x:v>
      </x:c>
      <x:c r="D7" s="3" t="str">
        <x:v>54 участника, 4 недели: интенсивности по-разному влияли на силу и выносливость. Текущая вводная доза не копирует их протокол.</x:v>
      </x:c>
      <x:c r="E7" s="21" t="str">
        <x:v>https://www.frontiersin.org/journals/sports-and-active-living/articles/10.3389/fspor.2022.862782/full</x:v>
      </x:c>
    </x:row>
    <x:row r="8" ht="67.5" customHeight="1">
      <x:c r="A8" s="9" t="str">
        <x:v>S3</x:v>
      </x:c>
      <x:c r="B8" s="9" t="str">
        <x:v>Saeterbakken et al., 2024</x:v>
      </x:c>
      <x:c r="C8" s="9" t="str">
        <x:v>Рандомизированное исследование</x:v>
      </x:c>
      <x:c r="D8" s="9" t="str">
        <x:v>Улучшение силы после 5 недель не сопровождалось улучшением боулдерингового теста. Нужна работа над самим лазанием.</x:v>
      </x:c>
      <x:c r="E8" s="20" t="str">
        <x:v>https://www.frontiersin.org/journals/physiology/articles/10.3389/fphys.2024.1461820/full</x:v>
      </x:c>
    </x:row>
    <x:row r="9" ht="67.5" customHeight="1">
      <x:c r="A9" s="3" t="str">
        <x:v>S4</x:v>
      </x:c>
      <x:c r="B9" s="3" t="str">
        <x:v>Schöffl et al., 2023</x:v>
      </x:c>
      <x:c r="C9" s="3" t="str">
        <x:v>Клиническая серия случаев</x:v>
      </x:c>
      <x:c r="D9" s="3" t="str">
        <x:v>Разные причины боли в запястьях у скалолазов. Поддерживает необходимость точной оценки; не определяет диагноз по фото.</x:v>
      </x:c>
      <x:c r="E9" s="21" t="str">
        <x:v>https://journals.sagepub.com/doi/abs/10.1177/03635465231199671</x:v>
      </x:c>
    </x:row>
    <x:row r="10" ht="67.5" customHeight="1">
      <x:c r="A10" s="9" t="str">
        <x:v>S5</x:v>
      </x:c>
      <x:c r="B10" s="9" t="str">
        <x:v>Schweizer, 2001</x:v>
      </x:c>
      <x:c r="C10" s="9" t="str">
        <x:v>Биомеханическое исследование</x:v>
      </x:c>
      <x:c r="D10" s="9" t="str">
        <x:v>Закрытый хват нагружает систему сухожилий и кольцевидных связок. Не даёт универсального безопасного порога нагрузки.</x:v>
      </x:c>
      <x:c r="E10" s="20" t="str">
        <x:v>https://pubmed.ncbi.nlm.nih.gov/11165286/</x:v>
      </x:c>
    </x:row>
    <x:row r="11" ht="67.5" customHeight="1">
      <x:c r="A11" s="3" t="str">
        <x:v>S6</x:v>
      </x:c>
      <x:c r="B11" s="3" t="str">
        <x:v>Kubo et al., 2010</x:v>
      </x:c>
      <x:c r="C11" s="3" t="str">
        <x:v>Исследование тренировки</x:v>
      </x:c>
      <x:c r="D11" s="3" t="str">
        <x:v>Сила и механические свойства сухожилия адаптировались с разной скоростью. Исследовали разгибатели колена; сроки нельзя прямо переносить на пальцы.</x:v>
      </x:c>
      <x:c r="E11" s="21" t="str">
        <x:v>https://pubmed.ncbi.nlm.nih.gov/19996769/</x:v>
      </x:c>
    </x:row>
    <x:row r="12" ht="67.5" customHeight="1">
      <x:c r="A12" s="9" t="str">
        <x:v>S7</x:v>
      </x:c>
      <x:c r="B12" s="9" t="str">
        <x:v>Abe et al., 2011</x:v>
      </x:c>
      <x:c r="C12" s="9" t="str">
        <x:v>Лабораторный эксперимент</x:v>
      </x:c>
      <x:c r="D12" s="9" t="str">
        <x:v>Вознаграждение улучшало удержание двигательного навыка. Боулдеринг и персональная схема «дофаминовых наград» не проверялись.</x:v>
      </x:c>
      <x:c r="E12" s="20" t="str">
        <x:v>https://pmc.ncbi.nlm.nih.gov/articles/PMC3075334/</x:v>
      </x:c>
    </x:row>
    <x:row r="13" ht="67.5" customHeight="1">
      <x:c r="A13" s="3" t="str">
        <x:v>S8</x:v>
      </x:c>
      <x:c r="B13" s="3" t="str">
        <x:v>Schultz, Dayan, Montague, 1997</x:v>
      </x:c>
      <x:c r="C13" s="3" t="str">
        <x:v>Нейронаука / модель обучения</x:v>
      </x:c>
      <x:c r="D13" s="3" t="str">
        <x:v>Дофаминовые сигналы и ошибка предсказания вознаграждения. Не способ оценивать уровень дофамина по настроению.</x:v>
      </x:c>
      <x:c r="E13" s="21" t="str">
        <x:v>https://pubmed.ncbi.nlm.nih.gov/9054347/</x:v>
      </x:c>
    </x:row>
    <x:row r="14" ht="67.5" customHeight="1">
      <x:c r="A14" s="9" t="str">
        <x:v>S9</x:v>
      </x:c>
      <x:c r="B14" s="9" t="str">
        <x:v>Pijpers et al., 2005</x:v>
      </x:c>
      <x:c r="C14" s="9" t="str">
        <x:v>Эксперимент в лазании</x:v>
      </x:c>
      <x:c r="D14" s="9" t="str">
        <x:v>Высота/тревога меняли темп и характер движений. Конкретные 5–10 минут практики — тренерская настройка.</x:v>
      </x:c>
      <x:c r="E14" s="20" t="str">
        <x:v>https://pubmed.ncbi.nlm.nih.gov/16025756/</x:v>
      </x:c>
    </x:row>
    <x:row r="15" ht="67.5" customHeight="1">
      <x:c r="A15" s="3" t="str">
        <x:v>S10</x:v>
      </x:c>
      <x:c r="B15" s="3" t="str">
        <x:v>ISSN, 2017: protein</x:v>
      </x:c>
      <x:c r="C15" s="3" t="str">
        <x:v>Позиция научной организации</x:v>
      </x:c>
      <x:c r="D15" s="3" t="str">
        <x:v>Ориентиры суточного белка и доз за приём. Большая часть данных получена вне скалолазания.</x:v>
      </x:c>
      <x:c r="E15" s="21" t="str">
        <x:v>https://link.springer.com/article/10.1186/s12970-017-0177-8</x:v>
      </x:c>
    </x:row>
    <x:row r="16" ht="67.5" customHeight="1">
      <x:c r="A16" s="9" t="str">
        <x:v>S11</x:v>
      </x:c>
      <x:c r="B16" s="9" t="str">
        <x:v>ISSN, 2017: nutrient timing</x:v>
      </x:c>
      <x:c r="C16" s="9" t="str">
        <x:v>Позиция научной организации</x:v>
      </x:c>
      <x:c r="D16" s="9" t="str">
        <x:v>Суточное питание и контекст следующей нагрузки важнее упрощённого представления об обязательном коротком «окне».</x:v>
      </x:c>
      <x:c r="E16" s="20" t="str">
        <x:v>https://link.springer.com/article/10.1186/s12970-017-0189-4</x:v>
      </x:c>
    </x:row>
    <x:row r="17" ht="67.5" customHeight="1">
      <x:c r="A17" s="3" t="str">
        <x:v>S12</x:v>
      </x:c>
      <x:c r="B17" s="3" t="str">
        <x:v>Lattice: deload weeks</x:v>
      </x:c>
      <x:c r="C17" s="3" t="str">
        <x:v>Опыт тренеров</x:v>
      </x:c>
      <x:c r="D17" s="3" t="str">
        <x:v>Пример разгрузки и циклов 3–4 недели. Не доказательство единственно оптимального календаря.</x:v>
      </x:c>
      <x:c r="E17" s="21" t="str">
        <x:v>https://latticetraining.com/blog/do_climbers_need_deload_weeks</x:v>
      </x:c>
    </x:row>
    <x:row r="18" ht="67.5" customHeight="1">
      <x:c r="A18" s="9" t="str">
        <x:v>S13</x:v>
      </x:c>
      <x:c r="B18" s="9" t="str">
        <x:v>Eva López: fingerboard guide</x:v>
      </x:c>
      <x:c r="C18" s="9" t="str">
        <x:v>Методические материалы автора</x:v>
      </x:c>
      <x:c r="D18" s="9" t="str">
        <x:v>Планирование висов, запас времени, изменение одной переменной нагрузки; адаптировано под историю пользователя.</x:v>
      </x:c>
      <x:c r="E18" s="20" t="str">
        <x:v>https://en-eva-lopez.blogspot.com/2018/07/fingerboard-training-guide-iii-periodization-samples-of-maxhangs-training-programs-.html</x:v>
      </x:c>
    </x:row>
    <x:row r="19" ht="67.5" customHeight="1">
      <x:c r="A19" s="3" t="str">
        <x:v>S14</x:v>
      </x:c>
      <x:c r="B19" s="3" t="str">
        <x:v>Steve Bechtel: session variability</x:v>
      </x:c>
      <x:c r="C19" s="3" t="str">
        <x:v>Опыт тренера</x:v>
      </x:c>
      <x:c r="D19" s="3" t="str">
        <x:v>Различать тяжёлые, закрепляющие и восстановительные занятия. Не все механистические объяснения статьи являются доказанными.</x:v>
      </x:c>
      <x:c r="E19" s="21" t="str">
        <x:v>https://www.climbstrong.com/resource-posts/session-variability---low-hanging-fruit</x:v>
      </x:c>
    </x:row>
    <x:row r="20" ht="67.5" customHeight="1">
      <x:c r="A20" s="9" t="str">
        <x:v>S15</x:v>
      </x:c>
      <x:c r="B20" s="9" t="str">
        <x:v>Moon Climbing: FAQ</x:v>
      </x:c>
      <x:c r="C20" s="9" t="str">
        <x:v>Производитель / первичный источник</x:v>
      </x:c>
      <x:c r="D20" s="9" t="str">
        <x:v>Различие расстановок, углов и curated benchmark-проблем. По фото угол не подтверждён.</x:v>
      </x:c>
      <x:c r="E20" s="20" t="str">
        <x:v>https://moonclimbing.com/using-your-moonboard</x:v>
      </x:c>
    </x:row>
    <x:row r="21" ht="67.5" customHeight="1">
      <x:c r="A21" s="3" t="str">
        <x:v>S16</x:v>
      </x:c>
      <x:c r="B21" s="3" t="str">
        <x:v>West et al., 2010</x:v>
      </x:c>
      <x:c r="C21" s="3" t="str">
        <x:v>Эксперимент силовой тренировки</x:v>
      </x:c>
      <x:c r="D21" s="3" t="str">
        <x:v>Более выраженные острые гормональные подъёмы не улучшили прирост силы/мышц в данной работе.</x:v>
      </x:c>
      <x:c r="E21" s="21" t="str">
        <x:v>https://pubmed.ncbi.nlm.nih.gov/19910330/</x:v>
      </x:c>
    </x:row>
    <x:row r="22" ht="67.5" customHeight="1">
      <x:c r="A22" s="9" t="str">
        <x:v>S17</x:v>
      </x:c>
      <x:c r="B22" s="9" t="str">
        <x:v>Fryer et al., 2015</x:v>
      </x:c>
      <x:c r="C22" s="9" t="str">
        <x:v>Физиология скалолазов</x:v>
      </x:c>
      <x:c r="D22" s="9" t="str">
        <x:v>Восстановление оксигенации предплечья связано с уровнем лазания; поперечные данные не доказывают эффект конкретного интервального плана.</x:v>
      </x:c>
      <x:c r="E22" s="20" t="str">
        <x:v>https://pubmed.ncbi.nlm.nih.gov/25536538/</x:v>
      </x:c>
    </x:row>
    <x:row r="23" ht="67.5" customHeight="1">
      <x:c r="A23" s="3" t="str">
        <x:v>S18</x:v>
      </x:c>
      <x:c r="B23" s="3" t="str">
        <x:v>Coleman et al., 2024</x:v>
      </x:c>
      <x:c r="C23" s="3" t="str">
        <x:v>Исследование силовой тренировки</x:v>
      </x:c>
      <x:c r="D23" s="3" t="str">
        <x:v>Полная неделя перерыва не показала обязательного преимущества для адаптации. Данные не из боулдеринга.</x:v>
      </x:c>
      <x:c r="E23" s="21" t="str">
        <x:v>https://pubmed.ncbi.nlm.nih.gov/38274324/</x:v>
      </x:c>
    </x:row>
    <x:row r="24" ht="28" customHeight="1">
      <x:c r="A24" s="3"/>
      <x:c r="B24" s="3"/>
      <x:c r="C24" s="3"/>
      <x:c r="D24" s="3"/>
      <x:c r="E24" s="3"/>
    </x:row>
    <x:row r="25" ht="28" customHeight="1">
      <x:c r="A25" s="3"/>
      <x:c r="B25" s="3"/>
      <x:c r="C25" s="3"/>
      <x:c r="D25" s="3"/>
      <x:c r="E25" s="3"/>
    </x:row>
    <x:row r="26" ht="28" customHeight="1">
      <x:c r="A26" s="3"/>
      <x:c r="B26" s="3"/>
      <x:c r="C26" s="3"/>
      <x:c r="D26" s="3"/>
      <x:c r="E26" s="3"/>
    </x:row>
    <x:row r="27" ht="28" customHeight="1">
      <x:c r="A27" s="3"/>
      <x:c r="B27" s="3"/>
      <x:c r="C27" s="3"/>
      <x:c r="D27" s="3"/>
      <x:c r="E27" s="3"/>
    </x:row>
    <x:row r="28" ht="28" customHeight="1">
      <x:c r="A28" s="3"/>
      <x:c r="B28" s="3"/>
      <x:c r="C28" s="3"/>
      <x:c r="D28" s="3"/>
      <x:c r="E28" s="3"/>
    </x:row>
  </x:sheetData>
  <x:mergeCells>
    <x:mergeCell ref="A1:E1"/>
    <x:mergeCell ref="A3:E4"/>
  </x:mergeCells>
  <x:pageMargins left="0.7" right="0.7" top="0.75" bottom="0.75" header="0.3" footer="0.3"/>
</x:worksheet>
</file>